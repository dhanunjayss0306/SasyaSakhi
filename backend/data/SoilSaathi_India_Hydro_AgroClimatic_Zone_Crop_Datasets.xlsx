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Calc"/>
  <workbookPr defaultThemeVersion="153222"/>
  <bookViews>
    <workbookView xWindow="0" yWindow="0" windowWidth="16384" windowHeight="8192" activeTab="0"/>
  </bookViews>
  <sheets>
    <sheet name="India_150_Zones_Master" sheetId="1" r:id="rId1"/>
    <sheet name="Zone_15Yr_Rainfall_2011_2025" sheetId="2" r:id="rId2"/>
    <sheet name="Seasonal_GW_Water_Balance" sheetId="3" r:id="rId3"/>
    <sheet name="Soil_Crops_By_Water_Need_Tiers" sheetId="4" r:id="rId4"/>
    <sheet name="Crop_Water_Soil_Segregation" sheetId="5" r:id="rId5"/>
    <sheet name="Survey_Source_Register" sheetId="6" r:id="rId6"/>
  </sheets>
  <calcPr iterateDelta="1.0E-4"/>
</workbook>
</file>

<file path=xl/sharedStrings.xml><?xml version="1.0" encoding="utf-8"?>
<sst xmlns="http://schemas.openxmlformats.org/spreadsheetml/2006/main" uniqueCount="2036" count="2036">
  <si>
    <t>Zone_ID</t>
  </si>
  <si>
    <t>State_UT</t>
  </si>
  <si>
    <t>Agro_Climatic_Zone_Name</t>
  </si>
  <si>
    <t>Planning_Commission_Macro_Region</t>
  </si>
  <si>
    <t>IMD_Met_Subdivision</t>
  </si>
  <si>
    <t>Representative_Districts</t>
  </si>
  <si>
    <t>Dominant_Soil_Type</t>
  </si>
  <si>
    <t>USDA_Soil_Order</t>
  </si>
  <si>
    <t>Soil_AWC_mm_m</t>
  </si>
  <si>
    <t>IMD_LPA_Normal_mm</t>
  </si>
  <si>
    <t>Avg_15Yr_Rainfall_2011_2025_mm</t>
  </si>
  <si>
    <t>Primary_Rainy_Months</t>
  </si>
  <si>
    <t>Monsoon_Onset_Window</t>
  </si>
  <si>
    <t>Monsoon_Withdrawal_Window</t>
  </si>
  <si>
    <t>Annual_Rainy_Days</t>
  </si>
  <si>
    <t>SW_Monsoon_Jun_Sep_mm</t>
  </si>
  <si>
    <t>NE_Monsoon_Oct_Dec_mm</t>
  </si>
  <si>
    <t>Winter_Rain_Jan_Feb_mm</t>
  </si>
  <si>
    <t>Summer_PreMonsoon_Mar_May_mm</t>
  </si>
  <si>
    <t>Dominant_Aquifer_System</t>
  </si>
  <si>
    <t>Pre_Monsoon_GW_May_mbgl</t>
  </si>
  <si>
    <t>Post_Monsoon_GW_Nov_mbgl</t>
  </si>
  <si>
    <t>Seasonal_GW_Fluctuation_m</t>
  </si>
  <si>
    <t>Specific_Yield_pct</t>
  </si>
  <si>
    <t>Annual_Extractable_GW_MCM</t>
  </si>
  <si>
    <t>Annual_GW_Draft_MCM</t>
  </si>
  <si>
    <t>Stage_of_GW_Extraction_pct</t>
  </si>
  <si>
    <t>CGWB_Categorization</t>
  </si>
  <si>
    <t>Effective_Rainfall_Annual_mm</t>
  </si>
  <si>
    <t>Usable_GW_Irrigation_Equiv_mm</t>
  </si>
  <si>
    <t>Overall_Annual_Water_Availability_mm</t>
  </si>
  <si>
    <t>Kharif_Total_Water_Avail_mm</t>
  </si>
  <si>
    <t>Rabi_Total_Water_Avail_mm</t>
  </si>
  <si>
    <t>Summer_Total_Water_Avail_mm</t>
  </si>
  <si>
    <t>Suggested_Kharif_Crops</t>
  </si>
  <si>
    <t>Suggested_Rabi_Crops</t>
  </si>
  <si>
    <t>Suggested_Low_Water_Contingency_Crops</t>
  </si>
  <si>
    <t>Recommended_Irrigation_System</t>
  </si>
  <si>
    <t>AP-AZ-001</t>
  </si>
  <si>
    <t>Andhra Pradesh</t>
  </si>
  <si>
    <t>North Coastal Zone - Srikakulam &amp; Vizianagaram</t>
  </si>
  <si>
    <t>XI - East Coast Plains &amp; Hills</t>
  </si>
  <si>
    <t>Coastal Andhra Pradesh</t>
  </si>
  <si>
    <t>Srikakulam, Vizianagaram, Parvathipuram Manyam</t>
  </si>
  <si>
    <t>Red Sandy Loam &amp; Coastal Alluvial</t>
  </si>
  <si>
    <t>Alfisols / Entisols</t>
  </si>
  <si>
    <t>Jun-Nov (SW &amp; NE Monsoon)</t>
  </si>
  <si>
    <t>Jun 8-12</t>
  </si>
  <si>
    <t>Nov 25-Dec 5</t>
  </si>
  <si>
    <t>Crystalline Gneiss &amp; Coastal Alluvium</t>
  </si>
  <si>
    <t>Safe (&lt;70%)</t>
  </si>
  <si>
    <t>Kharif &amp; Rabi Paddy, Sweet Corn; Sugarcane, Betelvine</t>
  </si>
  <si>
    <t>Vegetable Cowpea, Soybean; Coconut, Oil Palm, Banana, Papaya</t>
  </si>
  <si>
    <t>Finger Millet, Pearl Millet; Cowpea, Horse Gram, Black Gram, Groundnut, Sesame</t>
  </si>
  <si>
    <t>Ring-Basin Drip &amp; Salt-Leaching Scheduling</t>
  </si>
  <si>
    <t>AP-AZ-002</t>
  </si>
  <si>
    <t>North Coastal Zone - Visakhapatnam &amp; Anakapalli</t>
  </si>
  <si>
    <t>Visakhapatnam, Anakapalli</t>
  </si>
  <si>
    <t>Red Loamy &amp; Lateritic Gravel</t>
  </si>
  <si>
    <t>Alfisols / Ultisols</t>
  </si>
  <si>
    <t>Khondalite &amp; Charnockite Hard Rock</t>
  </si>
  <si>
    <t>Lowland Transplanted Paddy, Sweet Corn; Black Pepper, Cardamom, Coffee, Tea</t>
  </si>
  <si>
    <t>Irrigated Cowpea, French Bean; Coconut, Arecanut, Nutmeg, Clove, Banana</t>
  </si>
  <si>
    <t>Finger Millet (Ragi), Little Millet, Kodo Millet; Horse Gram, Cowpea, Niger Seed, Sesame</t>
  </si>
  <si>
    <t>Under-Canopy Micro-Sprinkler &amp; Drip</t>
  </si>
  <si>
    <t>AP-AZ-003</t>
  </si>
  <si>
    <t>Godavari Delta Zone - East Godavari &amp; Konaseema</t>
  </si>
  <si>
    <t>East Godavari, Dr. B.R. Ambedkar Konaseema, Kakinada</t>
  </si>
  <si>
    <t>Deltaic Alluvial Clay &amp; Vertisols</t>
  </si>
  <si>
    <t>Entisols / Vertisols</t>
  </si>
  <si>
    <t>Jun 6-10</t>
  </si>
  <si>
    <t>Dec 1-10</t>
  </si>
  <si>
    <t>Thick Deltaic Alluvium &amp; Sandstone</t>
  </si>
  <si>
    <t>Transplanted Rice (Kharif), Rabi Maize; Turmeric, Irrigated Hybrid Cotton, Chilli</t>
  </si>
  <si>
    <t>Irrigated Groundnut, Rajmash; Banana, Sweet Orange (Mosambi), Papaya, Brinjal</t>
  </si>
  <si>
    <t>Sorghum (Rabi Jowar), Pearl Millet, Foxtail Millet; Bengal Gram (Chickpea), Red Gram, Safflower, Mustard</t>
  </si>
  <si>
    <t>Drip with Fertigation &amp; AWD for Paddy</t>
  </si>
  <si>
    <t>AP-AZ-004</t>
  </si>
  <si>
    <t>Godavari Western Delta - West Godavari &amp; Eluru</t>
  </si>
  <si>
    <t>West Godavari, Eluru</t>
  </si>
  <si>
    <t>Deltaic Alluvial &amp; Red Loamy</t>
  </si>
  <si>
    <t>Inceptisols / Alfisols</t>
  </si>
  <si>
    <t>Alluvial &amp; Gondwana Sandstone</t>
  </si>
  <si>
    <t>Triple Cropping (Paddy-Paddy-Pulse/Maize); Sugarcane-Ratoon, Betelvine</t>
  </si>
  <si>
    <t>Dhaincha Green Manuring; Oil Palm, Coconut-Cocoa-Banana Multi-Tier</t>
  </si>
  <si>
    <t>Finger Millet, Sorghum (Rice-Fallow); Black Gram (Rice-Fallow Urad), Green Gram, Sesame, Lathyrus</t>
  </si>
  <si>
    <t>Conjunctive Canal + Shallow Filter-Point Tube Well</t>
  </si>
  <si>
    <t>AP-AZ-005</t>
  </si>
  <si>
    <t>Krishna Delta Zone - Krishna &amp; NTR</t>
  </si>
  <si>
    <t>Krishna, NTR (Vijayawada)</t>
  </si>
  <si>
    <t>Deltaic Alluvial &amp; Deep Black Cotton</t>
  </si>
  <si>
    <t>Vertisols / Entisols</t>
  </si>
  <si>
    <t>Deltaic Alluvium &amp; Gneissic Complex</t>
  </si>
  <si>
    <t>AP-AZ-006</t>
  </si>
  <si>
    <t>Krishna-Guntur Zone - Guntur &amp; Bapatla</t>
  </si>
  <si>
    <t>Guntur, Bapatla</t>
  </si>
  <si>
    <t>Deep Black Cotton Clay &amp; Coastal Sand</t>
  </si>
  <si>
    <t>Dec 5-15</t>
  </si>
  <si>
    <t>Alluvial &amp; Basaltic/Gneissic Fractured</t>
  </si>
  <si>
    <t>AP-AZ-007</t>
  </si>
  <si>
    <t>Palnadu Semi-Arid Black Soil Zone</t>
  </si>
  <si>
    <t>X - Southern Plateau &amp; Hills</t>
  </si>
  <si>
    <t>Palnadu (Narasaraopet), North Prakasam</t>
  </si>
  <si>
    <t>Medium to Deep Black Calcareous Clay</t>
  </si>
  <si>
    <t>Vertisols / Inceptisols</t>
  </si>
  <si>
    <t>Cuddapah Limestone &amp; Granitic Gneiss</t>
  </si>
  <si>
    <t>Semi-Critical (70-90%)</t>
  </si>
  <si>
    <t>AP-AZ-008</t>
  </si>
  <si>
    <t>Southern Zone - Prakasam &amp; SPSR Nellore</t>
  </si>
  <si>
    <t>Prakasam (Ongole), SPSR Nellore</t>
  </si>
  <si>
    <t>Coastal Alluvial, Red Loam &amp; Lateritic</t>
  </si>
  <si>
    <t>Oct-Dec (NE Monsoon Dominant)</t>
  </si>
  <si>
    <t>Jun 5-10 / Oct 15</t>
  </si>
  <si>
    <t>Dec 15-25</t>
  </si>
  <si>
    <t>Coastal Tertiary &amp; Pennar Alluvium</t>
  </si>
  <si>
    <t>AP-AZ-009</t>
  </si>
  <si>
    <t>Southern Rayalaseema - Tirupati &amp; Chittoor</t>
  </si>
  <si>
    <t>Rayalaseema</t>
  </si>
  <si>
    <t>Chittoor, Tirupati, Annamayya</t>
  </si>
  <si>
    <t>Red Sandy Loam &amp; Red Clay Loam</t>
  </si>
  <si>
    <t>Alfisols / Inceptisols</t>
  </si>
  <si>
    <t>Jul-Dec (Bi-Modal SW &amp; NE)</t>
  </si>
  <si>
    <t>Weathered &amp; Fractured Granite-Gneiss</t>
  </si>
  <si>
    <t>Finger Millet (Ragi), Maize, Sorghum; Chilli, Virginia Tobacco (FCV), Bt Cotton</t>
  </si>
  <si>
    <t>Groundnut (Irrigated), Cowpea, Black Gram, Sunflower, Sesame; Tomato, Brinjal, Onion, Mango, Guava, Sweet Orange</t>
  </si>
  <si>
    <t>Foxtail Millet (Korralu), Pearl Millet, Kodo Millet, Sorghum; Horse Gram (Ulavalu), Red Gram, Green Gram, Castor, Groundnut (Rainfed)</t>
  </si>
  <si>
    <t>Drip &amp; Mini-Sprinkler System</t>
  </si>
  <si>
    <t>AP-AZ-010</t>
  </si>
  <si>
    <t>Scarce Rainfall Zone - Kurnool &amp; Nandyal</t>
  </si>
  <si>
    <t>Kurnool, Nandyal</t>
  </si>
  <si>
    <t>Deep Black Vertic &amp; Red Calcareous Loam</t>
  </si>
  <si>
    <t>Vertisols / Alfisols</t>
  </si>
  <si>
    <t>Jun-Oct (SW Monsoon)</t>
  </si>
  <si>
    <t>Jun 6-12</t>
  </si>
  <si>
    <t>Oct 20-30</t>
  </si>
  <si>
    <t>Kurnool Shales, Limestone &amp; Gneiss</t>
  </si>
  <si>
    <t>Maize, Wheat (Durum/Timely), Hybrid Sorghum; Bt Cotton, Guntur Chilli, Soybean</t>
  </si>
  <si>
    <t>Soybean, Black Gram, Green Gram, Sunflower; Onion, Tomato, Garlic, Guava, Pomegranate</t>
  </si>
  <si>
    <t>Sub-Surface / Surface Drip Irrigation</t>
  </si>
  <si>
    <t>AP-AZ-011</t>
  </si>
  <si>
    <t>Scarce Rainfall Arid Zone - Anantapur &amp; Sri Sathya Sai</t>
  </si>
  <si>
    <t>Anantapur, Sri Sathya Sai (Tatrakallu Tract)</t>
  </si>
  <si>
    <t>Shallow Red Sandy Loam &amp; Gravelly Alfisol</t>
  </si>
  <si>
    <t>Alfisols / Aridisols</t>
  </si>
  <si>
    <t>Jul-Nov (Erratic SW &amp; NE)</t>
  </si>
  <si>
    <t>Nov 15-25</t>
  </si>
  <si>
    <t>Peninsular Gneissic Complex (Hard Rock)</t>
  </si>
  <si>
    <t>Critical (90-100%)</t>
  </si>
  <si>
    <t>AP-AZ-012</t>
  </si>
  <si>
    <t>YSR Kadapa Pennar Basin Zone</t>
  </si>
  <si>
    <t>YSR Kadapa</t>
  </si>
  <si>
    <t>Medium Black Clay &amp; Red Ferruginous Loam</t>
  </si>
  <si>
    <t>Cuddapah Quartzite, Shale &amp; Limestone</t>
  </si>
  <si>
    <t>Kharif Maize, Wheat, Finger Millet (Ragi); Bt Cotton, Chilli, Turmeric</t>
  </si>
  <si>
    <t>Soybean, Groundnut, Black Gram, Sunflower; Tomato, Onion, Okra (Bhendi), Pomegranate, Acid Lime</t>
  </si>
  <si>
    <t>Pearl Millet (Bajra), Rabi Sorghum, Little Millet; Pigeonpea (Red Gram), Chickpea, Green Gram, Sesame</t>
  </si>
  <si>
    <t>Drip Irrigation with Plastic Mulching</t>
  </si>
  <si>
    <t>AP-AZ-013</t>
  </si>
  <si>
    <t>High Altitude &amp; Tribal Zone - Alluri Sitharama Raju</t>
  </si>
  <si>
    <t>Alluri Sitharama Raju (Araku, Paderu, Chintapalli)</t>
  </si>
  <si>
    <t>Forest Brown Loam &amp; Lateritic Acid Soil</t>
  </si>
  <si>
    <t>Ultisols / Mollisols</t>
  </si>
  <si>
    <t>Jun-Oct (Heavy SW Monsoon)</t>
  </si>
  <si>
    <t>Jun 5-10</t>
  </si>
  <si>
    <t>Oct 25-Nov 5</t>
  </si>
  <si>
    <t>Hilly Fractured Charnockite &amp; Valley Fill</t>
  </si>
  <si>
    <t>TS-AZ-014</t>
  </si>
  <si>
    <t>Telangana</t>
  </si>
  <si>
    <t>Northern Telangana - Nizamabad &amp; Karimnagar</t>
  </si>
  <si>
    <t>Nizamabad, Karimnagar, Jagtial, Peddapalli</t>
  </si>
  <si>
    <t>Medium Black &amp; Red Chalkas (Sandy Loam)</t>
  </si>
  <si>
    <t>Jun-Sep (SW Monsoon)</t>
  </si>
  <si>
    <t>Jun 10-15</t>
  </si>
  <si>
    <t>Oct 10-20</t>
  </si>
  <si>
    <t>Granitic Gneiss &amp; Gondwana Sandstone</t>
  </si>
  <si>
    <t>Rice (Paddy), Hybrid Maize, Wheat (3-4 Irrigations); Sugarcane (Drip), Ginger, Turmeric</t>
  </si>
  <si>
    <t>Rabi Groundnut, Field Pea; Banana, Grapes, Sweet Orange, Cabbage</t>
  </si>
  <si>
    <t>Automated Drip Fertigation</t>
  </si>
  <si>
    <t>TS-AZ-015</t>
  </si>
  <si>
    <t>Northern Telangana - Adilabad &amp; Nirmal Black Soil Belt</t>
  </si>
  <si>
    <t>Adilabad, Nirmal, Komaram Bheem Asifabad</t>
  </si>
  <si>
    <t>Deep Black Cotton Soil (Vertisols)</t>
  </si>
  <si>
    <t>Vertisols</t>
  </si>
  <si>
    <t>Oct 10-18</t>
  </si>
  <si>
    <t>Deccan Trap Basalt &amp; Penganga Limestone</t>
  </si>
  <si>
    <t>TS-AZ-016</t>
  </si>
  <si>
    <t>Central Telangana - Warangal &amp; Khammam</t>
  </si>
  <si>
    <t>Warangal, Hanamkonda, Khammam, Bhadradri</t>
  </si>
  <si>
    <t>Red Sandy Clay Loam &amp; Alluvial Black</t>
  </si>
  <si>
    <t>Alfisols / Vertisols</t>
  </si>
  <si>
    <t>Jun 8-14</t>
  </si>
  <si>
    <t>Oct 15-25</t>
  </si>
  <si>
    <t>Pakhal Schist, Gondwana &amp; Gneiss</t>
  </si>
  <si>
    <t>TS-AZ-017</t>
  </si>
  <si>
    <t>Central Telangana - Medak, Siddipet &amp; Sangareddy</t>
  </si>
  <si>
    <t>Medak, Siddipet, Sangareddy, Kamareddy</t>
  </si>
  <si>
    <t>Red Chalkas &amp; Medium Black Soils</t>
  </si>
  <si>
    <t>Oct 12-20</t>
  </si>
  <si>
    <t>Fractured Peninsular Granite-Gneiss</t>
  </si>
  <si>
    <t>TS-AZ-018</t>
  </si>
  <si>
    <t>Southern Telangana - Nalgonda &amp; Suryapet</t>
  </si>
  <si>
    <t>Nalgonda, Suryapet, Yadadri Bhuvanagiri</t>
  </si>
  <si>
    <t>Red Sandy Loam (Chalka) &amp; Calcareous Black</t>
  </si>
  <si>
    <t>Fractured Granite with Fluoride Zones</t>
  </si>
  <si>
    <t>TS-AZ-019</t>
  </si>
  <si>
    <t>Southern Telangana - Mahabubnagar, Nagarkurnool &amp; Gadwal</t>
  </si>
  <si>
    <t>Mahabubnagar, Nagarkurnool, Jogulamba Gadwal</t>
  </si>
  <si>
    <t>Shallow Red Sandy Loam &amp; Black Cotton</t>
  </si>
  <si>
    <t>Oct 18-28</t>
  </si>
  <si>
    <t>Hard Rock Peninsular Gneiss</t>
  </si>
  <si>
    <t>TN-AZ-020</t>
  </si>
  <si>
    <t>Tamil Nadu</t>
  </si>
  <si>
    <t>North Eastern Zone - Chengalpattu, Villupuram &amp; Cuddalore</t>
  </si>
  <si>
    <t>Tamil Nadu, Puducherry &amp; Karaikal</t>
  </si>
  <si>
    <t>Chengalpattu, Villupuram, Cuddalore, Tiruvannamalai</t>
  </si>
  <si>
    <t>Coastal Alluvial &amp; Red Sandy Loam</t>
  </si>
  <si>
    <t>Entisols / Alfisols</t>
  </si>
  <si>
    <t>Oct 15-20</t>
  </si>
  <si>
    <t>Dec 20-31</t>
  </si>
  <si>
    <t>Cuddalore Sandstone &amp; Coastal Alluvium</t>
  </si>
  <si>
    <t>TN-AZ-021</t>
  </si>
  <si>
    <t>North Western Zone - Dharmapuri, Salem &amp; Namakkal</t>
  </si>
  <si>
    <t>Salem, Dharmapuri, Krishnagiri, Namakkal</t>
  </si>
  <si>
    <t>Non-Calcareous Red Loam &amp; Brown Soil</t>
  </si>
  <si>
    <t>Jun-Nov (Bi-Modal SW &amp; NE)</t>
  </si>
  <si>
    <t>Jun 5 / Oct 18</t>
  </si>
  <si>
    <t>Charnockite &amp; Granitic Gneiss Hard Rock</t>
  </si>
  <si>
    <t>Salt-Tolerant Wheat (KRL-210), Salt-Tolerant Rice (CSR-30/CSR-43); Bt Cotton, Fennel, Dill (Sowa)</t>
  </si>
  <si>
    <t>Dhaincha, Cluster Bean, Sunflower; Guava, Pomegranate, Spinach, Beetroot, Onion</t>
  </si>
  <si>
    <t>Barley, Pearl Millet, Sorghum; Chickpea (Karnal Chana), Mustard (CS-52/CS-54), Safflower</t>
  </si>
  <si>
    <t>Sub-Surface Drainage + Drip Irrigation</t>
  </si>
  <si>
    <t>TN-AZ-022</t>
  </si>
  <si>
    <t>Western Zone - Coimbatore, Erode &amp; Tiruppur</t>
  </si>
  <si>
    <t>Coimbatore, Tiruppur, Erode, Karur, Dindigul</t>
  </si>
  <si>
    <t>Red Loamy &amp; Calcareous Black Cotton</t>
  </si>
  <si>
    <t>Oct-Dec &amp; Apr-May</t>
  </si>
  <si>
    <t>Oct 15-22</t>
  </si>
  <si>
    <t>Fractured Hornblende-Biotite Gneiss</t>
  </si>
  <si>
    <t>Over-Exploited (&gt;100%)</t>
  </si>
  <si>
    <t>TN-AZ-023</t>
  </si>
  <si>
    <t>Cauvery Delta Zone - Thanjavur, Tiruvarur &amp; Nagapattinam</t>
  </si>
  <si>
    <t>Thanjavur, Tiruvarur, Nagapattinam, Mayiladuthurai, Trichy</t>
  </si>
  <si>
    <t>Cauvery Deltaic Alluvial Clay</t>
  </si>
  <si>
    <t>Entisols / Inceptisols</t>
  </si>
  <si>
    <t>Quaternary Deltaic &amp; Pliocene Alluvium</t>
  </si>
  <si>
    <t>Transplanted Kharif &amp; Rabi Paddy, Hybrid Maize; Sugarcane, Turmeric, Ginger</t>
  </si>
  <si>
    <t>Summer Green Gram, Rajmash; Banana (Grand Naine), Coconut, Papaya, Oil Palm</t>
  </si>
  <si>
    <t>AWD for Rice &amp; Drip for Horticulture</t>
  </si>
  <si>
    <t>TN-AZ-024</t>
  </si>
  <si>
    <t>Southern Zone - Madurai, Virudhunagar, Tirunelveli &amp; Thoothukudi</t>
  </si>
  <si>
    <t>Madurai, Virudhunagar, Ramanathapuram, Tirunelveli, Thoothukudi</t>
  </si>
  <si>
    <t>Black Cotton (Karisal), Red Sandy &amp; Coastal</t>
  </si>
  <si>
    <t>Crystalline Gneiss &amp; Coastal Sedimentary</t>
  </si>
  <si>
    <t>TN-AZ-025</t>
  </si>
  <si>
    <t>High Rainfall Zone - Kanyakumari</t>
  </si>
  <si>
    <t>XII - West Coast Plains &amp; Ghat</t>
  </si>
  <si>
    <t>Kanyakumari</t>
  </si>
  <si>
    <t>Red Lateritic &amp; Coastal Alluvial Loam</t>
  </si>
  <si>
    <t>Ultisols / Entisols</t>
  </si>
  <si>
    <t>May-Dec (SW &amp; NE Monsoon)</t>
  </si>
  <si>
    <t>Jun 1-5</t>
  </si>
  <si>
    <t>Dec 20-30</t>
  </si>
  <si>
    <t>Weathered Charnockite &amp; Coastal Sand</t>
  </si>
  <si>
    <t>TN-AZ-026</t>
  </si>
  <si>
    <t>Hilly &amp; High Altitude Zone - Nilgiris &amp; Kodaikanal</t>
  </si>
  <si>
    <t>The Nilgiris (Ooty), Kodaikanal, Shevaroy Hills</t>
  </si>
  <si>
    <t>Lateritic High-Organic Acid Forest Soil</t>
  </si>
  <si>
    <t>Dec 10-20</t>
  </si>
  <si>
    <t>Weathered Charnockite &amp; Valley Springs</t>
  </si>
  <si>
    <t>Double-Cropped Virippu &amp; Mundakan Paddy; Sugarcane, Vanilla, Tea-Pepper System</t>
  </si>
  <si>
    <t>Green Leaf Manure (Gliricidia); Arecanut-Cocoa-Banana-Nutmeg Homestead</t>
  </si>
  <si>
    <t>Spring-Fed Gravity Drip &amp; Check-Dam Storage</t>
  </si>
  <si>
    <t>KA-AZ-027</t>
  </si>
  <si>
    <t>Karnataka</t>
  </si>
  <si>
    <t>North Eastern Transition Zone - Bidar</t>
  </si>
  <si>
    <t>North Interior Karnataka</t>
  </si>
  <si>
    <t>Bidar, Bhalki</t>
  </si>
  <si>
    <t>Lateritic Red &amp; Medium Black Clay</t>
  </si>
  <si>
    <t>Ultisols / Vertisols</t>
  </si>
  <si>
    <t>Jun 7-12</t>
  </si>
  <si>
    <t>Vesicular Deccan Trap Basalt &amp; Laterite</t>
  </si>
  <si>
    <t>KA-AZ-028</t>
  </si>
  <si>
    <t>North Eastern Dry Zone - Kalaburagi, Yadgir &amp; Raichur</t>
  </si>
  <si>
    <t>Kalaburagi (Gulbarga), Yadgir, Raichur</t>
  </si>
  <si>
    <t>Deep &amp; Medium Black Cotton Clay</t>
  </si>
  <si>
    <t>Bhima Limestone, Basalt &amp; Granitic Gneiss</t>
  </si>
  <si>
    <t>KA-AZ-029</t>
  </si>
  <si>
    <t>Northern Dry Zone - Vijayapura, Bagalkot, Ballari &amp; Koppal</t>
  </si>
  <si>
    <t>Vijayapura, Bagalkot, Gadag, Koppal, Ballari, Dharwad East</t>
  </si>
  <si>
    <t>Deep Black Cotton (Vertisols) &amp; Red Loam</t>
  </si>
  <si>
    <t>Jun-Oct (Erratic SW &amp; Post-Monsoon)</t>
  </si>
  <si>
    <t>Oct 18-25</t>
  </si>
  <si>
    <t>Deccan Trap Basalt, Schist &amp; Gneiss</t>
  </si>
  <si>
    <t>KA-AZ-030</t>
  </si>
  <si>
    <t>Central Dry Zone - Chitradurga, Davanagere &amp; Tumakuru</t>
  </si>
  <si>
    <t>South Interior Karnataka</t>
  </si>
  <si>
    <t>Chitradurga, Davanagere, Tumakuru, Kadur</t>
  </si>
  <si>
    <t>Red Sandy Loam &amp; Mixed Black Pockets</t>
  </si>
  <si>
    <t>May-Oct (Pre-Monsoon + SW + NE)</t>
  </si>
  <si>
    <t>Nov 10-20</t>
  </si>
  <si>
    <t>Hard Rock Peninsular Gneiss &amp; Schist</t>
  </si>
  <si>
    <t>KA-AZ-031</t>
  </si>
  <si>
    <t>Eastern Dry Zone - Bengaluru, Kolar &amp; Chikkaballapur</t>
  </si>
  <si>
    <t>Bengaluru Rural, Kolar, Chikkaballapur, Ramanagara</t>
  </si>
  <si>
    <t>Red Loamy &amp; Lateritic Gravelly Alfisol</t>
  </si>
  <si>
    <t>Alfisols</t>
  </si>
  <si>
    <t>May-Nov (Bi-Modal SW &amp; NE)</t>
  </si>
  <si>
    <t>Jun 3-8</t>
  </si>
  <si>
    <t>Deep Fractured Peninsular Granite-Gneiss</t>
  </si>
  <si>
    <t>Finger Millet (Ragi), Little Millet, Kodo Millet; Mesta, Lemongrass</t>
  </si>
  <si>
    <t>Horse Gram, Cowpea, Niger Seed, Sesame; Cashew, Jackfruit, Pineapple, Mango</t>
  </si>
  <si>
    <t>Contour Trenching &amp; Half-Moon Basin Terracing</t>
  </si>
  <si>
    <t>KA-AZ-032</t>
  </si>
  <si>
    <t>Southern Dry Zone - Mysuru, Mandya &amp; Chamarajanagar</t>
  </si>
  <si>
    <t>Mysuru, Mandya, Chamarajanagar, Hassan South</t>
  </si>
  <si>
    <t>Red Sandy Loam &amp; Cauvery Command Clay</t>
  </si>
  <si>
    <t>Apr-Nov (Pre-Monsoon, SW &amp; NE)</t>
  </si>
  <si>
    <t>Jun 2-6</t>
  </si>
  <si>
    <t>Weathered Gneiss &amp; Canal Seepage Alluvium</t>
  </si>
  <si>
    <t>Direct-Seeded Rice (DSR), Rabi Maize, Wheat; Cotton (Rice-Fallow), Chilli, Jute</t>
  </si>
  <si>
    <t>Groundnut (Rabi), Mustard, Soybean, Lentil; Tomato, Brinjal, Onion, Cauliflower, Mango, Guava</t>
  </si>
  <si>
    <t>Alternate Wetting &amp; Drying (AWD) / Furrow</t>
  </si>
  <si>
    <t>KA-AZ-033</t>
  </si>
  <si>
    <t>Southern Transition Zone - Hassan &amp; Shivamogga East</t>
  </si>
  <si>
    <t>Hassan, Chikkamagaluru East, Shivamogga East</t>
  </si>
  <si>
    <t>Red Loamy &amp; Lateritic Sandy Clay</t>
  </si>
  <si>
    <t>May-Oct (SW Monsoon Dominant)</t>
  </si>
  <si>
    <t>Nov 5-15</t>
  </si>
  <si>
    <t>Dharwar Schist &amp; Granitic Gneiss</t>
  </si>
  <si>
    <t>KA-AZ-034</t>
  </si>
  <si>
    <t>Northern Transition Zone - Belagavi &amp; Haveri</t>
  </si>
  <si>
    <t>Belagavi (East), Haveri, Dharwad West</t>
  </si>
  <si>
    <t>Medium Black &amp; Reddish Brown Loam</t>
  </si>
  <si>
    <t>Deccan Basalt &amp; Greywacke Schist</t>
  </si>
  <si>
    <t>KA-AZ-035</t>
  </si>
  <si>
    <t>Hilly Malnad Zone - Kodagu, Chikkamagaluru &amp; Uttara Kannada</t>
  </si>
  <si>
    <t>Kodagu, Chikkamagaluru West, Shivamogga West, Sirsi</t>
  </si>
  <si>
    <t>Lateritic Acid Forest &amp; Red Clay Loam</t>
  </si>
  <si>
    <t>Jun-Sep (Intense SW Monsoon)</t>
  </si>
  <si>
    <t>Weathered Laterite &amp; Fractured Gneiss</t>
  </si>
  <si>
    <t>KA-AZ-036</t>
  </si>
  <si>
    <t>Coastal Zone - Dakshina Kannada &amp; Udupi</t>
  </si>
  <si>
    <t>Coastal Karnataka</t>
  </si>
  <si>
    <t>Dakshina Kannada (Mangaluru), Udupi, Karwar</t>
  </si>
  <si>
    <t>Coastal Alluvial &amp; Lateritic Gravelly Soil</t>
  </si>
  <si>
    <t>Jun-Sep (Torrential SW Monsoon)</t>
  </si>
  <si>
    <t>Jun 1-3</t>
  </si>
  <si>
    <t>Lateritic Phreatic &amp; Coastal Sand</t>
  </si>
  <si>
    <t>KL-AZ-037</t>
  </si>
  <si>
    <t>Kerala</t>
  </si>
  <si>
    <t>Northern Kerala - Kasaragod, Kannur &amp; Kozhikode</t>
  </si>
  <si>
    <t>Kerala &amp; Mahe</t>
  </si>
  <si>
    <t>Kasaragod, Kannur, Kozhikode</t>
  </si>
  <si>
    <t>Lateritic Acid Soil &amp; Coastal Sandy Loam</t>
  </si>
  <si>
    <t>Jun-Oct (SW &amp; NE Monsoon)</t>
  </si>
  <si>
    <t>Jun 1</t>
  </si>
  <si>
    <t>Laterite &amp; Crystalline Charnockite</t>
  </si>
  <si>
    <t>KL-AZ-038</t>
  </si>
  <si>
    <t>Central Kerala - Thrissur, Ernakulam &amp; Palakkad</t>
  </si>
  <si>
    <t>Palakkad, Thrissur, Ernakulam, Malappuram</t>
  </si>
  <si>
    <t>Lateritic Loam, Riverine Alluvial &amp; Black (Chittur)</t>
  </si>
  <si>
    <t>Ultisols / Inceptisols</t>
  </si>
  <si>
    <t>Alluvial, Laterite &amp; Palakkad Gap Gneiss</t>
  </si>
  <si>
    <t>Intensive Paddy-Paddy System; Sugarcane (Eksali/Adsali)</t>
  </si>
  <si>
    <t>Sesbania Green Manure; Banana, Papaya, Cut-Flowers (Rose/Marigold)</t>
  </si>
  <si>
    <t>High-Efficiency Drip &amp; Subsurface Drainage</t>
  </si>
  <si>
    <t>KL-AZ-039</t>
  </si>
  <si>
    <t>Southern Kerala - Thiruvananthapuram, Kollam &amp; Pathanamthitta</t>
  </si>
  <si>
    <t>Thiruvananthapuram, Kollam, Pathanamthitta</t>
  </si>
  <si>
    <t>Red Loam, Laterite &amp; Coastal Alluvium</t>
  </si>
  <si>
    <t>May-Nov (Pre-Monsoon, SW &amp; NE)</t>
  </si>
  <si>
    <t>Warkalli Tertiary Sandstone &amp; Laterite</t>
  </si>
  <si>
    <t>KL-AZ-040</t>
  </si>
  <si>
    <t>Kuttanad &amp; Pokkali Special Acid-Saline Wetland Zone</t>
  </si>
  <si>
    <t>Alappuzha (Kuttanad), Kottayam West, Ernakulam Coastal</t>
  </si>
  <si>
    <t>Peaty Kari Acid Sulphate &amp; Coastal Hydromorphic</t>
  </si>
  <si>
    <t>Histosols / Entisols</t>
  </si>
  <si>
    <t>May-Nov (SW &amp; NE Monsoon)</t>
  </si>
  <si>
    <t>Nov 30</t>
  </si>
  <si>
    <t>Coastal Tertiary &amp; Shallow Phreatic Sand</t>
  </si>
  <si>
    <t>Pokkali / Kharland Rice-Prawn System; Coir-Coconut-Fodder System</t>
  </si>
  <si>
    <t>Dhaincha (Salinity Reclamation); Coconut-Arecanut-Banana Coastal Garden</t>
  </si>
  <si>
    <t>Sub-Surface Doruvu Skimming Wells + Drip</t>
  </si>
  <si>
    <t>KL-AZ-041</t>
  </si>
  <si>
    <t>High Range Western Ghats - Idukki &amp; Wayanad</t>
  </si>
  <si>
    <t>Idukki, Wayanad</t>
  </si>
  <si>
    <t>Forest Loam &amp; Humic Lateritic Soil</t>
  </si>
  <si>
    <t>Mollisols / Ultisols</t>
  </si>
  <si>
    <t>Jun-Nov (Heavy SW &amp; NE)</t>
  </si>
  <si>
    <t>Nov 25</t>
  </si>
  <si>
    <t>Weathered Crystalline &amp; Mountain Springs</t>
  </si>
  <si>
    <t>MH-AZ-042</t>
  </si>
  <si>
    <t>Maharashtra</t>
  </si>
  <si>
    <t>South Konkan Coastal Zone - Ratnagiri &amp; Sindhudurg</t>
  </si>
  <si>
    <t>Konkan &amp; Goa</t>
  </si>
  <si>
    <t>Ratnagiri, Sindhudurg</t>
  </si>
  <si>
    <t>Lateritic Acid Soil &amp; Coastal Alluvial</t>
  </si>
  <si>
    <t>Jun-Sep (Heavy SW Monsoon)</t>
  </si>
  <si>
    <t>Oct 10-15</t>
  </si>
  <si>
    <t>Laterite &amp; Deccan Trap Basalt</t>
  </si>
  <si>
    <t>MH-AZ-043</t>
  </si>
  <si>
    <t>North Konkan Coastal Zone - Thane, Palghar &amp; Raigad</t>
  </si>
  <si>
    <t>Thane, Palghar, Raigad</t>
  </si>
  <si>
    <t>Coastal Alluvial, Saline Kharland &amp; Medium Black</t>
  </si>
  <si>
    <t>Inceptisols / Entisols</t>
  </si>
  <si>
    <t>Coastal Alluvium &amp; Fractured Basalt</t>
  </si>
  <si>
    <t>MH-AZ-044</t>
  </si>
  <si>
    <t>Western Ghat Sahyadri Zone - Igatpuri, Mahabaleshwar &amp; Radhanagari</t>
  </si>
  <si>
    <t>IX - Western Plateau &amp; Hills</t>
  </si>
  <si>
    <t>Madhya Maharashtra</t>
  </si>
  <si>
    <t>Western Ghats Crestline (Pune, Satara, Kolhapur, Nashik Ghats)</t>
  </si>
  <si>
    <t>Reddish Brown Lateritic Mountain Soil</t>
  </si>
  <si>
    <t>Jun-Sep (Extreme SW Monsoon)</t>
  </si>
  <si>
    <t>Fractured Basaltic Lava Flows</t>
  </si>
  <si>
    <t>MH-AZ-045</t>
  </si>
  <si>
    <t>Sub-Montane Transition Zone - Kolhapur, Satara &amp; Sangli West</t>
  </si>
  <si>
    <t>Kolhapur, Satara, Sangli West, Pune West</t>
  </si>
  <si>
    <t>Reddish Brown to Medium Black Clay</t>
  </si>
  <si>
    <t>Oct 12-18</t>
  </si>
  <si>
    <t>Weathered Deccan Trap Basalt &amp; River Alluvium</t>
  </si>
  <si>
    <t>MH-AZ-046</t>
  </si>
  <si>
    <t>Western Maharashtra Scarcity (Drought-Prone) Zone - Solapur, Ahmednagar &amp; Pune East</t>
  </si>
  <si>
    <t>Solapur, Ahilyanagar (Ahmednagar), Pune East, Sangli East, Nashik East</t>
  </si>
  <si>
    <t>Shallow to Medium Black Calcareous Soil</t>
  </si>
  <si>
    <t>Jun-Oct (Bi-Modal Peak in Sep)</t>
  </si>
  <si>
    <t>Vesicular &amp; Fractured Deccan Trap Basalt</t>
  </si>
  <si>
    <t>MH-AZ-047</t>
  </si>
  <si>
    <t>Assured Rainfall Zone - Chhatrapati Sambhajinagar, Jalna &amp; Latur (Marathwada)</t>
  </si>
  <si>
    <t>Marathwada</t>
  </si>
  <si>
    <t>Chhatrapati Sambhajinagar (Aurangabad), Jalna, Beed, Latur, Dharashiv</t>
  </si>
  <si>
    <t>Medium to Deep Black Cotton Soil (Vertisols)</t>
  </si>
  <si>
    <t>Deccan Trap Basalt (Multi-layered Flows)</t>
  </si>
  <si>
    <t>MH-AZ-048</t>
  </si>
  <si>
    <t>Moderate to High Rainfall Zone - Nanded, Parbhani, Hingoli &amp; Yavatmal</t>
  </si>
  <si>
    <t>Nanded, Parbhani, Hingoli, Yavatmal, Washim</t>
  </si>
  <si>
    <t>Deep Black Cotton Clay (Godavari &amp; Penganga Valley)</t>
  </si>
  <si>
    <t>Deccan Basalt &amp; Valley Alluvium</t>
  </si>
  <si>
    <t>MH-AZ-049</t>
  </si>
  <si>
    <t>Western Vidarbha Cotton-Sorghum Zone - Akola, Amravati, Buldhana &amp; Wardha</t>
  </si>
  <si>
    <t>Vidarbha</t>
  </si>
  <si>
    <t>Akola, Amravati, Buldhana, Wardha, Nagpur West</t>
  </si>
  <si>
    <t>Deep Black Cotton Soil &amp; Purna Saline Tract</t>
  </si>
  <si>
    <t>Jun 12-16</t>
  </si>
  <si>
    <t>Oct 8-15</t>
  </si>
  <si>
    <t>Deccan Trap &amp; Purna Thick Alluvium</t>
  </si>
  <si>
    <t>MH-AZ-050</t>
  </si>
  <si>
    <t>Eastern Vidarbha High Rainfall Paddy Zone - Bhandara, Gondia, Chandrapur &amp; Gadchiroli</t>
  </si>
  <si>
    <t>VII - Eastern Plateau &amp; Hills</t>
  </si>
  <si>
    <t>Bhandara, Gondia, Chandrapur, Gadchiroli, Nagpur East</t>
  </si>
  <si>
    <t>Reddish Yellow Clay Loam (Sihar) &amp; Medium Black (Kanhar)</t>
  </si>
  <si>
    <t>Gondwana Sandstone &amp; Crystalline Gneiss</t>
  </si>
  <si>
    <t>MP-AZ-051</t>
  </si>
  <si>
    <t>Madhya Pradesh</t>
  </si>
  <si>
    <t>Malwa Plateau Zone - Indore, Ujjain, Dewas &amp; Mandsaur</t>
  </si>
  <si>
    <t>West Madhya Pradesh</t>
  </si>
  <si>
    <t>Indore, Ujjain, Dewas, Shajapur, Mandsaur, Ratlam</t>
  </si>
  <si>
    <t>Jun 15-20</t>
  </si>
  <si>
    <t>Oct 5-12</t>
  </si>
  <si>
    <t>Deccan Trap Basaltic Aquifers</t>
  </si>
  <si>
    <t>MP-AZ-052</t>
  </si>
  <si>
    <t>Nimar Valley Cotton-Chilli Zone - Khargone, Khandwa &amp; Barwani</t>
  </si>
  <si>
    <t>VIII - Central Plateau &amp; Hills</t>
  </si>
  <si>
    <t>Khargone, Khandwa, Barwani, Burhanpur</t>
  </si>
  <si>
    <t>Medium Black &amp; Narmada Alluvial Loam</t>
  </si>
  <si>
    <t>Jun 14-18</t>
  </si>
  <si>
    <t>Deccan Basalt &amp; Narmada Alluvium</t>
  </si>
  <si>
    <t>MP-AZ-053</t>
  </si>
  <si>
    <t>Central Narmada Valley Wheat-Pulse Zone - Narmadapuram, Narsinghpur &amp; Harda</t>
  </si>
  <si>
    <t>Narmadapuram (Hoshangabad), Harda, Narsinghpur, Jabalpur South</t>
  </si>
  <si>
    <t>Deep Black Alluvial Clay (Vertisols)</t>
  </si>
  <si>
    <t>Thick Narmada Quaternary Alluvium</t>
  </si>
  <si>
    <t>Double-Cropped Paddy (Kharif + Rabi); Sugarcane (Plant &amp; Ratoon), Betelvine</t>
  </si>
  <si>
    <t>Dhaincha / Sunnhemp (Green Manure); Tissue-Culture Banana, Turmeric-Maize System</t>
  </si>
  <si>
    <t>Paired-Row Subsurface Drip &amp; Micro-Sprinkler</t>
  </si>
  <si>
    <t>MP-AZ-054</t>
  </si>
  <si>
    <t>Vindhyan Plateau Zone - Bhopal, Sagar, Vidisha &amp; Raisen</t>
  </si>
  <si>
    <t>Bhopal, Vidisha, Raisen, Sehore, Sagar, Damoh</t>
  </si>
  <si>
    <t>Medium to Deep Black Clay</t>
  </si>
  <si>
    <t>Jun 16-22</t>
  </si>
  <si>
    <t>Oct 5-10</t>
  </si>
  <si>
    <t>Vindhyan Sandstone &amp; Deccan Trap</t>
  </si>
  <si>
    <t>MP-AZ-055</t>
  </si>
  <si>
    <t>Gird Zone - Gwalior, Morena, Bhind &amp; Shivpuri</t>
  </si>
  <si>
    <t>Gwalior, Morena, Bhind, Sheopur, Shivpuri</t>
  </si>
  <si>
    <t>Chambal Alluvial &amp; Ravine Sandy Clay Loam</t>
  </si>
  <si>
    <t>Jun 22-28</t>
  </si>
  <si>
    <t>Sep 28-Oct 5</t>
  </si>
  <si>
    <t>Alluvial &amp; Vindhyan Sandstone/Shale</t>
  </si>
  <si>
    <t>Transplanted Rice-Wheat System, Spring Maize; Sugarcane (Autumn/Spring), Mentha</t>
  </si>
  <si>
    <t>Summer Moong (Short-Duration); Banana, Litchi, Mango, Guava, Commercial Vegetables</t>
  </si>
  <si>
    <t>Pearl Millet (Bajra), Barley, Sorghum; Chickpea (Gram), Lentil (Masoor), Mustard (Toria/Raya), Cluster Bean</t>
  </si>
  <si>
    <t>AWD in Paddy + Drip in Sugarcane/Orchards</t>
  </si>
  <si>
    <t>MP-AZ-056</t>
  </si>
  <si>
    <t>Bundelkhand Zone - Chhatarpur, Tikamgarh &amp; Datia</t>
  </si>
  <si>
    <t>East Madhya Pradesh</t>
  </si>
  <si>
    <t>Chhatarpur, Tikamgarh, Niwari, Datia, Panna</t>
  </si>
  <si>
    <t>Mixed Red &amp; Black (Rakar, Parwa, Kabar, Mar)</t>
  </si>
  <si>
    <t>Jun 18-24</t>
  </si>
  <si>
    <t>Oct 1-8</t>
  </si>
  <si>
    <t>Bundelkhand Granite-Gneiss Hard Rock</t>
  </si>
  <si>
    <t>MP-AZ-057</t>
  </si>
  <si>
    <t>Kymore Plateau &amp; Satpura Hills - Rewa, Satna &amp; Katni</t>
  </si>
  <si>
    <t>Rewa, Satna, Katni, Sidhi, Singrauli</t>
  </si>
  <si>
    <t>Mixed Red &amp; Medium Black Clay Loam</t>
  </si>
  <si>
    <t>Inceptisols / Vertisols</t>
  </si>
  <si>
    <t>Vindhyan Limestone, Shale &amp; Sandstone</t>
  </si>
  <si>
    <t>MP-AZ-058</t>
  </si>
  <si>
    <t>Satpura Plateau Zone - Chhindwara &amp; Betul</t>
  </si>
  <si>
    <t>Chhindwara, Betul, Seoni</t>
  </si>
  <si>
    <t>Shallow to Medium Black &amp; Sandy Loam</t>
  </si>
  <si>
    <t>Oct 8-14</t>
  </si>
  <si>
    <t>Gondwana Sandstone, Basalt &amp; Gneiss</t>
  </si>
  <si>
    <t>MP-AZ-059</t>
  </si>
  <si>
    <t>Jhabua Hills Tribal Maize-Pulse Zone</t>
  </si>
  <si>
    <t>Jhabua, Alirajpur, Dhar South</t>
  </si>
  <si>
    <t>Shallow Skeletal Red &amp; Medium Black</t>
  </si>
  <si>
    <t>Fractured Basalt &amp; Aravalli Metamorphics</t>
  </si>
  <si>
    <t>CG-AZ-060</t>
  </si>
  <si>
    <t>Chhattisgarh</t>
  </si>
  <si>
    <t>Chhattisgarh Plains Rice Bowl - Raipur, Durg &amp; Bilaspur</t>
  </si>
  <si>
    <t>Raipur, Durg, Bilaspur, Rajnandgaon, Dhamtari, Mahasamund</t>
  </si>
  <si>
    <t>Red &amp; Yellow (Matasi, Dorsa, Kanhar, Bhata)</t>
  </si>
  <si>
    <t>Chhattisgarh Basin Limestone, Shale &amp; Gneiss</t>
  </si>
  <si>
    <t>Irrigated Paddy (SRI Method), Hybrid Sweet Corn; Turmeric, Ginger, Mulberry (Sericulture)</t>
  </si>
  <si>
    <t>Rabi Groundnut, Vegetable Cowpea; Papaya, Banana, Pomegranate, Capsicum, Watermelon</t>
  </si>
  <si>
    <t>Inline Drip Irrigation with Mulch</t>
  </si>
  <si>
    <t>CG-AZ-061</t>
  </si>
  <si>
    <t>Bastar Plateau Zone - Jagdalpur, Kondagaon &amp; Kanker</t>
  </si>
  <si>
    <t>Bastar (Jagdalpur), Kondagaon, Kanker, Dantewada, Sukma</t>
  </si>
  <si>
    <t>Red Sandy Loam &amp; Lateritic Forest Soil (Marhan/Tikra)</t>
  </si>
  <si>
    <t>Crystalline Granite-Gneiss &amp; Quartzite</t>
  </si>
  <si>
    <t>CG-AZ-062</t>
  </si>
  <si>
    <t>Northern Hills Zone - Surguja, Ambikapur, Jashpur &amp; Korba</t>
  </si>
  <si>
    <t>Surguja, Jashpur, Korea, Balrampur, Korba</t>
  </si>
  <si>
    <t>Red &amp; Yellow Sandy Loam &amp; Hilly Skeletal</t>
  </si>
  <si>
    <t>Gondwana Coal-bearing Sandstone &amp; Gneiss</t>
  </si>
  <si>
    <t>GJ-AZ-063</t>
  </si>
  <si>
    <t>Gujarat</t>
  </si>
  <si>
    <t>South Gujarat Heavy Rainfall Zone - Valsad, Navsari &amp; Dang</t>
  </si>
  <si>
    <t>XIII - Gujarat Plains &amp; Hills</t>
  </si>
  <si>
    <t>Gujarat Region</t>
  </si>
  <si>
    <t>Valsad, Navsari, The Dangs, Tapi South</t>
  </si>
  <si>
    <t>Deep Black Clay (Kyari) &amp; Forest Lateritic</t>
  </si>
  <si>
    <t>Vertisols / Ultisols</t>
  </si>
  <si>
    <t>Deccan Trap Basalt &amp; Coastal Alluvium</t>
  </si>
  <si>
    <t>GJ-AZ-064</t>
  </si>
  <si>
    <t>South Gujarat Zone - Surat &amp; Bharuch</t>
  </si>
  <si>
    <t>Surat, Bharuch, Narmada</t>
  </si>
  <si>
    <t>Deep Black Cotton Clay (Vertisols)</t>
  </si>
  <si>
    <t>Narmada-Tapi Alluvium &amp; Deccan Basalt</t>
  </si>
  <si>
    <t>GJ-AZ-065</t>
  </si>
  <si>
    <t>Middle Gujarat Zone - Anand, Kheda, Vadodara &amp; Dahod</t>
  </si>
  <si>
    <t>Anand, Kheda, Vadodara, Panchmahal, Mahisagar, Dahod</t>
  </si>
  <si>
    <t>Sandy Loam (Goradu) &amp; Medium Black</t>
  </si>
  <si>
    <t>Jun 16-20</t>
  </si>
  <si>
    <t>Mahi-Sabarmati Multi-Aquifer Alluvium</t>
  </si>
  <si>
    <t>GJ-AZ-066</t>
  </si>
  <si>
    <t>North Gujarat Semi-Arid Zone - Mehsana, Banaskantha, Patan &amp; Sabarkantha</t>
  </si>
  <si>
    <t>Banaskantha, Mehsana, Patan, Sabarkantha, Gandhinagar</t>
  </si>
  <si>
    <t>Sandy to Sandy Loam Alluvial</t>
  </si>
  <si>
    <t>Entisols / Aridisols</t>
  </si>
  <si>
    <t>Jun-Sep (Short SW Monsoon)</t>
  </si>
  <si>
    <t>Sep 25-30</t>
  </si>
  <si>
    <t>Deep Multi-Layered Confined Alluvial (Over-Exploited)</t>
  </si>
  <si>
    <t>Pearl Millet (Bajra), Barley, Sorghum; Sunnhemp, Guar</t>
  </si>
  <si>
    <t>Chickpea (Gram), Lentil (Masoor), Mustard (Toria/Raya), Cluster Bean; Ber, Amla, Guava, Carrot</t>
  </si>
  <si>
    <t>Laser Land Leveling + Sprinkler Irrigation</t>
  </si>
  <si>
    <t>GJ-AZ-067</t>
  </si>
  <si>
    <t>Bhal &amp; Coastal Zone - Ahmedabad South, Bhavnagar Coastal &amp; Khambhat</t>
  </si>
  <si>
    <t>Bhal Tract (Ahmedabad, Anand, Bhavnagar Coastal)</t>
  </si>
  <si>
    <t>Saline-Alkaline Clay &amp; Coastal Alluvial</t>
  </si>
  <si>
    <t>Inceptisols / Aridisols</t>
  </si>
  <si>
    <t>Saline Alluvial &amp; Marginal Basalt</t>
  </si>
  <si>
    <t>Reclaimed Paddy-Wheat-Dhaincha Rotation; Sugarcane (Salt-Tolerant Co-0238)</t>
  </si>
  <si>
    <t>Berseem (Fodder Legume); Banana (Gypsum-Reclaimed), Sapota</t>
  </si>
  <si>
    <t>Continuous Ponding for Leaching + Gypsum</t>
  </si>
  <si>
    <t>GJ-AZ-068</t>
  </si>
  <si>
    <t>South Saurashtra Groundnut-Cotton Zone - Junagadh, Gir Somnath &amp; Amreli</t>
  </si>
  <si>
    <t>Saurashtra &amp; Kutch</t>
  </si>
  <si>
    <t>Junagadh, Gir Somnath, Amreli, Bhavnagar</t>
  </si>
  <si>
    <t>Medium Black Calcareous &amp; Coastal Miliolite</t>
  </si>
  <si>
    <t>Oct 1-5</t>
  </si>
  <si>
    <t>Deccan Trap Basalt &amp; Miliolite Limestone</t>
  </si>
  <si>
    <t>GJ-AZ-069</t>
  </si>
  <si>
    <t>North Saurashtra Zone - Rajkot, Jamnagar, Morbi &amp; Surendranagar</t>
  </si>
  <si>
    <t>Rajkot, Jamnagar, Devbhumi Dwarka, Morbi, Surendranagar</t>
  </si>
  <si>
    <t>Shallow to Medium Black Cotton Soil</t>
  </si>
  <si>
    <t>Jun 18-25</t>
  </si>
  <si>
    <t>Fractured Deccan Basalt &amp; Dhrangadhra Sandstone</t>
  </si>
  <si>
    <t>GJ-AZ-070</t>
  </si>
  <si>
    <t>North West Arid Zone - Kutch</t>
  </si>
  <si>
    <t>XIV - Western Dry Region</t>
  </si>
  <si>
    <t>Kachchh (Bhuj, Anjar, Mundra, Bhachau)</t>
  </si>
  <si>
    <t>Arid Sandy, Saline Rann &amp; Calcareous Loam</t>
  </si>
  <si>
    <t>Aridisols / Entisols</t>
  </si>
  <si>
    <t>Jul-Sep (Brief Arid SW Monsoon)</t>
  </si>
  <si>
    <t>Jun 25-Jul 2</t>
  </si>
  <si>
    <t>Sep 20-25</t>
  </si>
  <si>
    <t>Bhuj Cretaceous Sandstone (Deep Confined)</t>
  </si>
  <si>
    <t>Wheat (Restricted Irrigation), Barley, Sorghum; Cumin, Fenugreek (Methi), Coriander, Bt Cotton</t>
  </si>
  <si>
    <t>Mustard (Raya), Chickpea (Chana), Groundnut; Kinnow Mandarin, Pomegranate (Bhagwa), Onion, Garlic</t>
  </si>
  <si>
    <t>Pearl Millet (Bajra), Moth Bean, Cluster Bean (Guar); Moong Bean, Sesame (Til), Taramira, Castor</t>
  </si>
  <si>
    <t>Pressurized Sprinkler &amp; Inline Drip System</t>
  </si>
  <si>
    <t>RJ-AZ-071</t>
  </si>
  <si>
    <t>Rajasthan</t>
  </si>
  <si>
    <t>Arid Western Plain (Zone Ia) - Barmer &amp; Jodhpur</t>
  </si>
  <si>
    <t>West Rajasthan</t>
  </si>
  <si>
    <t>Barmer, Jodhpur, Phalodi</t>
  </si>
  <si>
    <t>Desert Aeolian Dune &amp; Interdunal Sandy</t>
  </si>
  <si>
    <t>Jul-Sep (Erratic Arid SWM)</t>
  </si>
  <si>
    <t>Jul 1-8</t>
  </si>
  <si>
    <t>Sep 15-22</t>
  </si>
  <si>
    <t>Lathi/Jodhpur Sandstone &amp; Quaternary Aeolian</t>
  </si>
  <si>
    <t>Pearl Millet (Bajra), Moth Bean, Cluster Bean (Guar); Isabgol (Psyllium), Cumin (Zeera)</t>
  </si>
  <si>
    <t>Moong Bean, Sesame (Til), Taramira, Castor; Khejri, Ber (Seb), Date Palm, Pomegranate</t>
  </si>
  <si>
    <t>Khadin / Drip Irrigation from Solar Tube Well</t>
  </si>
  <si>
    <t>RJ-AZ-072</t>
  </si>
  <si>
    <t>Irrigated North Western Plain (Zone Ib) - Sri Ganganagar &amp; Hanumangarh</t>
  </si>
  <si>
    <t>Sri Ganganagar, Hanumangarh (IGNP Command)</t>
  </si>
  <si>
    <t>Alluvial Floodplain &amp; Aeolian Sandy Loam</t>
  </si>
  <si>
    <t>Jul-Sep &amp; Jan-Feb (WD)</t>
  </si>
  <si>
    <t>Jul 1-5</t>
  </si>
  <si>
    <t>Sep 18-25</t>
  </si>
  <si>
    <t>Indus-Ghaggar Quaternary Alluvium (Canal Recharge)</t>
  </si>
  <si>
    <t>RJ-AZ-073</t>
  </si>
  <si>
    <t>Hyper-Arid Partially Irrigated Zone (Zone Ic) - Jaisalmer, Bikaner &amp; Churu</t>
  </si>
  <si>
    <t>Jaisalmer, Bikaner, Churu</t>
  </si>
  <si>
    <t>Thar Desert Calcareous Sand Dunes</t>
  </si>
  <si>
    <t>Jul-Aug (Hyper-Arid SWM)</t>
  </si>
  <si>
    <t>Jul 5-10</t>
  </si>
  <si>
    <t>Sep 15-20</t>
  </si>
  <si>
    <t>Lathi Jurassic Sandstone &amp; Tertiary Palana</t>
  </si>
  <si>
    <t>RJ-AZ-074</t>
  </si>
  <si>
    <t>Transitional Plain of Inland Drainage (Zone IIa) - Nagaur, Sikar &amp; Jhunjhunu</t>
  </si>
  <si>
    <t>Nagaur, Sikar, Jhunjhunu, Didwana</t>
  </si>
  <si>
    <t>Sandy Loam to Loamy Sand</t>
  </si>
  <si>
    <t>Aridisols / Inceptisols</t>
  </si>
  <si>
    <t>Jul-Sep (SW Monsoon)</t>
  </si>
  <si>
    <t>Jun 28-Jul 5</t>
  </si>
  <si>
    <t>Older Alluvium &amp; Nagaur Sandstone/Limestone</t>
  </si>
  <si>
    <t>Foxtail Millet (Korralu), Pearl Millet, Kodo Millet, Sorghum; Mesta, Rainfed Desi Cotton</t>
  </si>
  <si>
    <t>Horse Gram (Ulavalu), Red Gram, Green Gram, Castor, Groundnut (Rainfed); Tamarind, Ber, Custard Apple, Drumstick</t>
  </si>
  <si>
    <t>Sprinkler / Rain-Gun &amp; Farm Pond Lifesaving Irrigation</t>
  </si>
  <si>
    <t>RJ-AZ-075</t>
  </si>
  <si>
    <t>Transitional Plain of Luni Basin (Zone IIb) - Jalore, Pali &amp; Sirohi</t>
  </si>
  <si>
    <t>Jalore, Pali, Sirohi, Barmer East</t>
  </si>
  <si>
    <t>Red Desertic &amp; Saline Alluvial Loam</t>
  </si>
  <si>
    <t>Sep 22-28</t>
  </si>
  <si>
    <t>Luni Older Alluvium &amp; Jalore Granite</t>
  </si>
  <si>
    <t>RJ-AZ-076</t>
  </si>
  <si>
    <t>Semi-Arid Eastern Plain (Zone IIIa) - Jaipur, Ajmer, Dausa &amp; Tonk</t>
  </si>
  <si>
    <t>East Rajasthan</t>
  </si>
  <si>
    <t>Jaipur, Ajmer, Dausa, Tonk</t>
  </si>
  <si>
    <t>Alluvial Sandy Loam &amp; Sierozem</t>
  </si>
  <si>
    <t>Jun 25-30</t>
  </si>
  <si>
    <t>Quaternary Alluvium &amp; Quartzite/Schist</t>
  </si>
  <si>
    <t>RJ-AZ-077</t>
  </si>
  <si>
    <t>Flood Prone Eastern Plain (Zone IIIb) - Alwar, Bharatpur, Dholpur &amp; Karauli</t>
  </si>
  <si>
    <t>Alwar, Bharatpur, Dholpur, Karauli, Sawai Madhopur</t>
  </si>
  <si>
    <t>Alluvial Loam &amp; Clay Loam</t>
  </si>
  <si>
    <t>Sep 25-Oct 2</t>
  </si>
  <si>
    <t>Indo-Gangetic Marginal Alluvium &amp; Sandstone</t>
  </si>
  <si>
    <t>RJ-AZ-078</t>
  </si>
  <si>
    <t>Sub-Humid Southern Plain &amp; Aravalli Hills (Zone IVa) - Udaipur, Bhilwara &amp; Chittorgarh</t>
  </si>
  <si>
    <t>Udaipur, Bhilwara, Chittorgarh, Rajsamand</t>
  </si>
  <si>
    <t>Reddish Medium Black &amp; Aravalli Loam</t>
  </si>
  <si>
    <t>Jun 20-25</t>
  </si>
  <si>
    <t>Aravalli Phyllite, Schist, Gneiss &amp; Marble</t>
  </si>
  <si>
    <t>RJ-AZ-079</t>
  </si>
  <si>
    <t>Humid Southern Plain (Zone IVb) - Banswara, Dungarpur &amp; Pratapgarh</t>
  </si>
  <si>
    <t>Banswara, Dungarpur, Pratapgarh</t>
  </si>
  <si>
    <t>Red Loam &amp; Medium Black Cotton Soil</t>
  </si>
  <si>
    <t>Jun 18-22</t>
  </si>
  <si>
    <t>Deccan Trap Basalt &amp; Aravalli Metamorphics</t>
  </si>
  <si>
    <t>RJ-AZ-080</t>
  </si>
  <si>
    <t>Humid South-Eastern Hadoti Plain (Zone V) - Kota, Bundi, Baran &amp; Jhalawar</t>
  </si>
  <si>
    <t>Kota, Bundi, Baran, Jhalawar</t>
  </si>
  <si>
    <t>Deep Black Alluvial Clay (Chambal Command)</t>
  </si>
  <si>
    <t>Vindhyan Sandstone, Limestone &amp; Deccan Basalt</t>
  </si>
  <si>
    <t>PB-AZ-081</t>
  </si>
  <si>
    <t>Punjab</t>
  </si>
  <si>
    <t>Sub-Montane Undulating &amp; Kandi Zone - Hoshiarpur, Pathankot &amp; Rupnagar</t>
  </si>
  <si>
    <t>VI - Trans-Gangetic Plains</t>
  </si>
  <si>
    <t>Pathankot, Gurdaspur, Hoshiarpur, Rupnagar, SAS Nagar</t>
  </si>
  <si>
    <t>Sub-Montane Loam &amp; Kandi Boulder Gravel</t>
  </si>
  <si>
    <t>Jul-Sep (SWM) &amp; Jan-Feb (WD)</t>
  </si>
  <si>
    <t>Jun 26-Jul 2</t>
  </si>
  <si>
    <t>Siwalik Bhabar-Kandi &amp; Piedmont Alluvium</t>
  </si>
  <si>
    <t>PB-AZ-082</t>
  </si>
  <si>
    <t>Central Alluvial Plain Zone - Ludhiana, Jalandhar, Amritsar &amp; Patiala</t>
  </si>
  <si>
    <t>Ludhiana, Jalandhar, Amritsar, Patiala, Sangrur, Barnala, Moga</t>
  </si>
  <si>
    <t>Deep Indo-Gangetic Alluvial Loam</t>
  </si>
  <si>
    <t>Jun 28-Jul 3</t>
  </si>
  <si>
    <t>Thick Multi-Layered Quaternary Alluvium</t>
  </si>
  <si>
    <t>PB-AZ-083</t>
  </si>
  <si>
    <t>South-Western Cotton-Wheat Belt - Bathinda, Mansa, Fazilka &amp; Muktsar</t>
  </si>
  <si>
    <t>Bathinda, Mansa, Fazilka, Sri Muktsar Sahib, Faridkot</t>
  </si>
  <si>
    <t>Calcareous Sandy Loam &amp; Waterlogged Saline Pockets</t>
  </si>
  <si>
    <t>Jun 30-Jul 5</t>
  </si>
  <si>
    <t>Alluvial with Brackish/Saline Deep Aquifers</t>
  </si>
  <si>
    <t>Barley, Pearl Millet, Sorghum; Desi Cotton, Sugarbeet, Isabgol</t>
  </si>
  <si>
    <t>Chickpea (Karnal Chana), Mustard (CS-52/CS-54), Safflower; Ber, Amla, Bael, Date Palm, Karonda</t>
  </si>
  <si>
    <t>Gypsum Amendment + Ridge-Furrow Planting</t>
  </si>
  <si>
    <t>HR-AZ-084</t>
  </si>
  <si>
    <t>Haryana</t>
  </si>
  <si>
    <t>Eastern Haryana Yamuna Alluvial Zone - Karnal, Kurukshetra, Panipat &amp; Sonipat</t>
  </si>
  <si>
    <t>Haryana, Chandigarh &amp; Delhi</t>
  </si>
  <si>
    <t>Karnal, Kurukshetra, Ambala, Yamunanagar, Panipat, Sonipat</t>
  </si>
  <si>
    <t>Deep Alluvial Loam &amp; Clay Loam (Khadar/Bangar)</t>
  </si>
  <si>
    <t>Inceptisols</t>
  </si>
  <si>
    <t>Yamuna Floodplain &amp; Older Alluvium</t>
  </si>
  <si>
    <t>HR-AZ-085</t>
  </si>
  <si>
    <t>Western Haryana Semi-Arid Zone - Hisar, Sirsa, Fatehabad &amp; Bhiwani</t>
  </si>
  <si>
    <t>Hisar, Sirsa, Fatehabad, Bhiwani, Jind</t>
  </si>
  <si>
    <t>Sierozem Sandy Loam &amp; Aeolian Sand</t>
  </si>
  <si>
    <t>Sep 18-24</t>
  </si>
  <si>
    <t>Alluvial with Underlying Saline Water</t>
  </si>
  <si>
    <t>HR-AZ-086</t>
  </si>
  <si>
    <t>Southern Haryana Aravalli Fringe - Gurugram, Rewari, Mahendragarh &amp; Nuh</t>
  </si>
  <si>
    <t>Gurugram, Rewari, Mahendragarh, Nuh, Faridabad</t>
  </si>
  <si>
    <t>Coarse Sandy Loam &amp; Aravalli Piedmont</t>
  </si>
  <si>
    <t>Older Alluvium &amp; Alwar Quartzite</t>
  </si>
  <si>
    <t>DL-AZ-087</t>
  </si>
  <si>
    <t>Delhi</t>
  </si>
  <si>
    <t>Delhi NCR Yamuna &amp; Kohi Ridge Zone</t>
  </si>
  <si>
    <t>New Delhi, North, South West &amp; East Delhi</t>
  </si>
  <si>
    <t>Yamuna Khadar Alluvial &amp; Aravalli Quartzite Loam</t>
  </si>
  <si>
    <t>Jun 27-30</t>
  </si>
  <si>
    <t>Sep 22-27</t>
  </si>
  <si>
    <t>Yamuna Newer Alluvium &amp; Quartzite Hard Rock</t>
  </si>
  <si>
    <t>Wheat (Zero-Till), Maize, Basmati Rice (DSR); Cotton (American/Desi), Potato</t>
  </si>
  <si>
    <t>Pigeonpea (Arhar), Field Pea, Groundnut, Soybean, Mustard; Potato, Onion, Tomato, Cauliflower, Mango, Kinnow</t>
  </si>
  <si>
    <t>Ridge-Furrow, Sprinkler &amp; Zero-Till Drill</t>
  </si>
  <si>
    <t>UP-AZ-088</t>
  </si>
  <si>
    <t>Uttar Pradesh</t>
  </si>
  <si>
    <t>Bhabar &amp; Tarai Zone - Saharanpur, Bijnor, Pilibhit &amp; Lakhimpur Kheri North</t>
  </si>
  <si>
    <t>V - Upper Gangetic Plains</t>
  </si>
  <si>
    <t>West Uttar Pradesh</t>
  </si>
  <si>
    <t>Saharanpur, Bijnor, Rampur, Pilibhit, Lakhimpur Kheri Tarai</t>
  </si>
  <si>
    <t>Tarai Mollisols (High Organic) &amp; Bhabar Gravelly</t>
  </si>
  <si>
    <t>Mollisols / Inceptisols</t>
  </si>
  <si>
    <t>Jun-Sep (SWM) &amp; Jan-Feb (WD)</t>
  </si>
  <si>
    <t>Artesian Tarai &amp; High-Yield Bhabar Alluvium</t>
  </si>
  <si>
    <t>Intensive Rice-Wheat-Summer Moong / Boro Rice; Sugarcane + Intercropped Potato/Mustard</t>
  </si>
  <si>
    <t>Sesbania (Dhaincha); Makhana (Foxnut), Water Chestnut, Banana</t>
  </si>
  <si>
    <t>Canal Conjunctive Use + Aquifer Recharge Shafts</t>
  </si>
  <si>
    <t>UP-AZ-089</t>
  </si>
  <si>
    <t>Western Plain Sugarcane-Wheat Zone - Meerut, Muzaffarnagar &amp; Baghpat</t>
  </si>
  <si>
    <t>Meerut, Muzaffarnagar, Shamli, Baghpat, Ghaziabad, Bulandshahr</t>
  </si>
  <si>
    <t>Deep Fertile Ganga-Yamuna Doab Alluvium</t>
  </si>
  <si>
    <t>Jun 22-27</t>
  </si>
  <si>
    <t>Deep Unconfined &amp; Confined Doab Alluvium</t>
  </si>
  <si>
    <t>UP-AZ-090</t>
  </si>
  <si>
    <t>Mid-Western Plain Zone - Bareilly, Moradabad, Budaun &amp; Shahjahanpur</t>
  </si>
  <si>
    <t>Bareilly, Moradabad, Sambhal, Budaun, Shahjahanpur</t>
  </si>
  <si>
    <t>Alluvial Sandy Loam to Clay Loam</t>
  </si>
  <si>
    <t>Ramganga-Ganga Multi-Deck Alluvium</t>
  </si>
  <si>
    <t>UP-AZ-091</t>
  </si>
  <si>
    <t>South-Western Semi-Arid Zone - Agra, Mathura, Aligarh, Hathras &amp; Mainpuri</t>
  </si>
  <si>
    <t>Agra, Mathura, Aligarh, Hathras, Firozabad, Etah, Mainpuri</t>
  </si>
  <si>
    <t>Alluvial Sandy Loam with Saline-Sodic (Usar) Patches</t>
  </si>
  <si>
    <t>Jun 24-28</t>
  </si>
  <si>
    <t>Marginal Alluvium with Underlying Saline Zones</t>
  </si>
  <si>
    <t>UP-AZ-092</t>
  </si>
  <si>
    <t>Central Plain Zone - Lucknow, Kanpur, Unnao, Sitapur, Hardoi &amp; Fatehpur</t>
  </si>
  <si>
    <t>East Uttar Pradesh</t>
  </si>
  <si>
    <t>Lucknow, Kanpur, Unnao, Rae Bareli, Sitapur, Hardoi, Kannauj, Fatehpur</t>
  </si>
  <si>
    <t>Gangetic Bangar &amp; Khadar Alluvial Loam (With Sodic Usar)</t>
  </si>
  <si>
    <t>Jun 18-23</t>
  </si>
  <si>
    <t>Thick Quaternary Ganga-Gomti Alluvium</t>
  </si>
  <si>
    <t>UP-AZ-093</t>
  </si>
  <si>
    <t>Bundelkhand Zone - Jhansi, Banda, Lalitpur, Hamirpur &amp; Mahoba</t>
  </si>
  <si>
    <t>Jhansi, Lalitpur, Jalaun, Hamirpur, Mahoba, Banda, Chitrakoot</t>
  </si>
  <si>
    <t>Red (Rakar/Parwa) &amp; Black Cotton (Kabar/Mar) Soils</t>
  </si>
  <si>
    <t>Oct 1-6</t>
  </si>
  <si>
    <t>Bundelkhand Granite-Gneiss &amp; Marginal Alluvium</t>
  </si>
  <si>
    <t>UP-AZ-094</t>
  </si>
  <si>
    <t>North-Eastern Plain Zone - Gorakhpur, Basti, Gonda, Bahraich &amp; Deoria</t>
  </si>
  <si>
    <t>IV - Middle Gangetic Plains</t>
  </si>
  <si>
    <t>Gorakhpur, Maharajganj, Deoria, Kushinagar, Basti, Gonda, Bahraich</t>
  </si>
  <si>
    <t>Calcareous Bhat &amp; Tarai Alluvial Silt Loam</t>
  </si>
  <si>
    <t>High-Yield Gandak-Rapti-Ghaghara Alluvium</t>
  </si>
  <si>
    <t>Waterlogged Saline Reclamation Paddy-Aquaculture; Para Grass / Karnal Grass Fodder</t>
  </si>
  <si>
    <t>Sesbania aculeata (Dhaincha); Salt-Tolerant Agroforestry (Casuarina/Prosopis)</t>
  </si>
  <si>
    <t>Biodrainage + Subsurface Tile Drainage</t>
  </si>
  <si>
    <t>UP-AZ-095</t>
  </si>
  <si>
    <t>Eastern Plain Zone - Varanasi, Prayagraj, Ayodhya, Azamgarh &amp; Jaunpur</t>
  </si>
  <si>
    <t>Varanasi, Jaunpur, Ghazipur, Azamgarh, Mau, Ballia, Ayodhya, Sultanpur</t>
  </si>
  <si>
    <t>Deep Gangetic Loam &amp; Karail (Clayey Vertic) Soil</t>
  </si>
  <si>
    <t>Thick Multi-Aquifer Gangetic Alluvium</t>
  </si>
  <si>
    <t>UP-AZ-096</t>
  </si>
  <si>
    <t>Vindhyan Zone - Mirzapur, Sonbhadra &amp; Bhadohi</t>
  </si>
  <si>
    <t>Mirzapur, Sonbhadra, Chandauli South</t>
  </si>
  <si>
    <t>Reddish Residual Loam &amp; Black Valley Clay</t>
  </si>
  <si>
    <t>Vindhyan Sandstone, Shale &amp; Fractured Gneiss</t>
  </si>
  <si>
    <t>BR-AZ-097</t>
  </si>
  <si>
    <t>Bihar</t>
  </si>
  <si>
    <t>North-West Alluvial Plain (Zone I) - Saran, Champaran, Muzaffarpur &amp; Darbhanga</t>
  </si>
  <si>
    <t>West/East Champaran, Saran, Siwan, Muzaffarpur, Vaishali, Samastipur, Darbhanga</t>
  </si>
  <si>
    <t>Calcareous Alluvial Silt Loam (Young Gandak Floodplain)</t>
  </si>
  <si>
    <t>Unconfined High-Transmissivity Gandak-Burhi Alluvium</t>
  </si>
  <si>
    <t>BR-AZ-098</t>
  </si>
  <si>
    <t>North-East Alluvial Kosi-Mahananda Plain (Zone II) - Purnia, Katihar, Saharsa &amp; Araria</t>
  </si>
  <si>
    <t>Purnia, Katihar, Araria, Kishanganj, Saharsa, Supaul, Madhepura</t>
  </si>
  <si>
    <t>Non-Calcareous Acidic Sandy-Silt Alluvium (Diara &amp; Tal)</t>
  </si>
  <si>
    <t>Entisols</t>
  </si>
  <si>
    <t>May-Oct (Pre-Monsoon Nor'westers + SWM)</t>
  </si>
  <si>
    <t>Jun 10-14</t>
  </si>
  <si>
    <t>Shallow Megafan Kosi-Mahananda Alluvium</t>
  </si>
  <si>
    <t>BR-AZ-099</t>
  </si>
  <si>
    <t>South-East Bihar Alluvial Plain (Zone IIIA) - Bhagalpur, Munger, Lakhisarai &amp; Jamui</t>
  </si>
  <si>
    <t>Bhagalpur, Banka, Munger, Lakhisarai, Sheikhpura, Jamui, Khagaria</t>
  </si>
  <si>
    <t>Heavy Clay Tal Land &amp; Old Alluvial Loam</t>
  </si>
  <si>
    <t>Oct 8-12</t>
  </si>
  <si>
    <t>Marginal Gangetic Alluvium &amp; Quartzite Fringe</t>
  </si>
  <si>
    <t>BR-AZ-100</t>
  </si>
  <si>
    <t>South-West Bihar Sone Command Zone (Zone IIIB) - Patna, Gaya, Rohtas &amp; Bhojpur</t>
  </si>
  <si>
    <t>Patna, Nalanda, Gaya, Aurangabad, Rohtas, Kaimur, Bhojpur, Buxar</t>
  </si>
  <si>
    <t>Old Alluvial Clay Loam (Karail &amp; Kewal)</t>
  </si>
  <si>
    <t>Sone-Ganga Thick Alluvium</t>
  </si>
  <si>
    <t>JH-AZ-101</t>
  </si>
  <si>
    <t>Jharkhand</t>
  </si>
  <si>
    <t>Central &amp; North-Eastern Plateau (Zone IV) - Ranchi, Hazaribagh, Dhanbad &amp; Dumka</t>
  </si>
  <si>
    <t>Ranchi, Hazaribagh, Giridih, Dhanbad,Bokaro, Deoghar, Dumka, Santhal Pargana</t>
  </si>
  <si>
    <t>Red Acidic Uplands (Tanr) &amp; Clay Loam Lowlands (Don)</t>
  </si>
  <si>
    <t>Chotanagpur Granite-Gneiss Hard Rock</t>
  </si>
  <si>
    <t>JH-AZ-102</t>
  </si>
  <si>
    <t>Western Plateau Zone (Zone V) - Palamu, Garhwa, Latehar &amp; Lohardaga</t>
  </si>
  <si>
    <t>Palamu (Daltonganj), Garhwa, Latehar, Chatra, Gumla, Lohardaga</t>
  </si>
  <si>
    <t>Red Sandy Loam, Lateritic &amp; Valley Clay</t>
  </si>
  <si>
    <t>Weathered Granite-Gneiss &amp; Gondwana</t>
  </si>
  <si>
    <t>JH-AZ-103</t>
  </si>
  <si>
    <t>South-Eastern Plateau Zone (Zone VI) - East &amp; West Singhbhum &amp; Saraikela</t>
  </si>
  <si>
    <t>East Singhbhum (Jamshedpur), West Singhbhum, Saraikela Kharsawan</t>
  </si>
  <si>
    <t>Red Gravelly &amp; Subarnarekha Valley Alluvial</t>
  </si>
  <si>
    <t>Singhbhum Shear Granite &amp; Schist</t>
  </si>
  <si>
    <t>WB-AZ-104</t>
  </si>
  <si>
    <t>West Bengal</t>
  </si>
  <si>
    <t>Darjeeling &amp; Kalimpong Hill Zone</t>
  </si>
  <si>
    <t>II - Eastern Himalayan Region</t>
  </si>
  <si>
    <t>Sub-Himalayan West Bengal &amp; Sikkim</t>
  </si>
  <si>
    <t>Darjeeling, Kalimpong</t>
  </si>
  <si>
    <t>Brown Forest Acidic Humic Soil</t>
  </si>
  <si>
    <t>May-Sep (Pre-Monsoon + Heavy SWM)</t>
  </si>
  <si>
    <t>Jun 5-8</t>
  </si>
  <si>
    <t>Mountain Springs &amp; Fractured Gneiss/Schist</t>
  </si>
  <si>
    <t>Terraced Wet Paddy-Fish System (Apatani Model); High-Rainfall Tea &amp; Ginger</t>
  </si>
  <si>
    <t>White Clover / Azolla; Mandarin Orange, Pineapple, Orchid Floriculture</t>
  </si>
  <si>
    <t>Finger Millet (Mandua), Barnyard Millet (Jhangora), Amaranthus, Buckwheat; Black Soybean (Bhatt), Kidney Bean (Rajmash), Horse Gram, Lentil</t>
  </si>
  <si>
    <t>Traditional Bamboo Drip &amp; Springhed Management</t>
  </si>
  <si>
    <t>WB-AZ-105</t>
  </si>
  <si>
    <t>Terai &amp; Teesta Alluvial Zone - Jalpaiguri, Cooch Behar &amp; Alipurduar</t>
  </si>
  <si>
    <t>III - Lower Gangetic Plains</t>
  </si>
  <si>
    <t>Jalpaiguri, Cooch Behar, Alipurduar, Siliguri, Uttar Dinajpur North</t>
  </si>
  <si>
    <t>Acidic Terai Sandy Loam &amp; Teesta Silt</t>
  </si>
  <si>
    <t>Apr-Sep (Kalbaishakhi + Heavy SWM)</t>
  </si>
  <si>
    <t>Unconfined High-Recharge Bhabar-Terai Alluvium</t>
  </si>
  <si>
    <t>WB-AZ-106</t>
  </si>
  <si>
    <t>Old Alluvial (Vindhyan) Zone - Malda, Dakshin Dinajpur &amp; Murshidabad West</t>
  </si>
  <si>
    <t>Gangetic West Bengal</t>
  </si>
  <si>
    <t>Malda, Dakshin Dinajpur, Birbhum East, Bardhaman North</t>
  </si>
  <si>
    <t>Old Alluvial Clay Loam (Barind Tract)</t>
  </si>
  <si>
    <t>May-Oct (SW Monsoon)</t>
  </si>
  <si>
    <t>Older Pleistocene Barind Alluvium</t>
  </si>
  <si>
    <t>WB-AZ-107</t>
  </si>
  <si>
    <t>New Gangetic Alluvial Zone - Nadia, Hooghly, Purba Bardhaman &amp; Murshidabad</t>
  </si>
  <si>
    <t>Purba Bardhaman, Hooghly, Nadia, Howrah, North 24 Parganas, Murshidabad</t>
  </si>
  <si>
    <t>Deep Fertile Gangetic Silt &amp; Clay Loam</t>
  </si>
  <si>
    <t>May-Oct (Nor'westers + SWM)</t>
  </si>
  <si>
    <t>Thick Bengal Basin Quaternary Alluvium (Boro Paddy)</t>
  </si>
  <si>
    <t>WB-AZ-108</t>
  </si>
  <si>
    <t>Red &amp; Lateritic Rarh Zone - Bankura, Purulia, Paschim Medinipur &amp; Jhargram</t>
  </si>
  <si>
    <t>Purulia, Bankura, Jhargram, Paschim Medinipur, Birbhum West</t>
  </si>
  <si>
    <t>Red Lateritic Gravelly Acidic Soil</t>
  </si>
  <si>
    <t>Oct 12-16</t>
  </si>
  <si>
    <t>Chotanagpur Fringe Hard Rock &amp; Laterite</t>
  </si>
  <si>
    <t>WB-AZ-109</t>
  </si>
  <si>
    <t>Coastal Saline Sundarbans Zone - South 24 Parganas &amp; Purba Medinipur</t>
  </si>
  <si>
    <t>South 24 Parganas (Sundarbans), Purba Medinipur (Contai, Haldia)</t>
  </si>
  <si>
    <t>Coastal Saline Heavy Deltaic Clay</t>
  </si>
  <si>
    <t>May-Nov (SWM &amp; Cyclonic Post-Monsoon)</t>
  </si>
  <si>
    <t>Oct 20-25</t>
  </si>
  <si>
    <t>Deep Confined Freshwater Beneath Saline Upper Aquifer</t>
  </si>
  <si>
    <t>OD-AZ-110</t>
  </si>
  <si>
    <t>Odisha</t>
  </si>
  <si>
    <t>North Western Plateau Zone - Sundargarh &amp; Deogarh</t>
  </si>
  <si>
    <t>Sundargarh, Deogarh</t>
  </si>
  <si>
    <t>Red &amp; Yellow Sandy Loam</t>
  </si>
  <si>
    <t>Crystalline Granite-Gneiss &amp; Schist</t>
  </si>
  <si>
    <t>OD-AZ-111</t>
  </si>
  <si>
    <t>North Central Plateau Zone - Mayurbhanj &amp; Keonjhar</t>
  </si>
  <si>
    <t>Mayurbhanj, Keonjhar</t>
  </si>
  <si>
    <t>Red Lateritic &amp; Mixed Red-Black Loam</t>
  </si>
  <si>
    <t>Singhbhum Granite &amp; Laterite</t>
  </si>
  <si>
    <t>OD-AZ-112</t>
  </si>
  <si>
    <t>North Eastern Coastal Plain - Balasore, Bhadrak &amp; Jajpur</t>
  </si>
  <si>
    <t>Balasore, Bhadrak, Jajpur</t>
  </si>
  <si>
    <t>Deltaic Alluvial &amp; Coastal Saline Loam</t>
  </si>
  <si>
    <t>May-Oct (SW &amp; Post-Monsoon)</t>
  </si>
  <si>
    <t>Subarnarekha-Baitarani Multi-Aquifer Alluvium</t>
  </si>
  <si>
    <t>OD-AZ-113</t>
  </si>
  <si>
    <t>East &amp; South Eastern Coastal Plain - Cuttack, Puri, Kendrapara, Khordha &amp; Ganjam Coastal</t>
  </si>
  <si>
    <t>Cuttack, Puri, Jagatsinghpur, Kendrapara, Khordha, Nayagarh, Ganjam East</t>
  </si>
  <si>
    <t>Mahanadi Deltaic Alluvial, Lateritic &amp; Chilika Saline</t>
  </si>
  <si>
    <t>Jun-Nov (SWM &amp; Cyclonic NE)</t>
  </si>
  <si>
    <t>Mahanadi Deltaic Quaternary Alluvium</t>
  </si>
  <si>
    <t>OD-AZ-114</t>
  </si>
  <si>
    <t>North Eastern Ghat Zone - Kandhamal, Rayagada, Gajapati &amp; Ganjam Hills</t>
  </si>
  <si>
    <t>Kandhamal (Phulbani), Rayagada, Gajapati, Boudh</t>
  </si>
  <si>
    <t>Red Brown Forest, Lateritic &amp; Podzolic Soil</t>
  </si>
  <si>
    <t>Eastern Ghats Khondalite-Charnockite Suite</t>
  </si>
  <si>
    <t>OD-AZ-115</t>
  </si>
  <si>
    <t>Eastern Ghat Highland Zone - Koraput &amp; Nabarangpur</t>
  </si>
  <si>
    <t>Koraput, Nabarangpur</t>
  </si>
  <si>
    <t>Red Lateritic &amp; Highland Valley Clay Loam</t>
  </si>
  <si>
    <t>Weathered Charnockite &amp; Jeypore Plateau Gneiss</t>
  </si>
  <si>
    <t>OD-AZ-116</t>
  </si>
  <si>
    <t>South Eastern Ghat Zone - Malkangiri</t>
  </si>
  <si>
    <t>Malkangiri</t>
  </si>
  <si>
    <t>Red Gravelly &amp; Alluvial Valley Soil</t>
  </si>
  <si>
    <t>Crystalline Gneiss &amp; Sabari Alluvium</t>
  </si>
  <si>
    <t>OD-AZ-117</t>
  </si>
  <si>
    <t>Western Undulating Zone - Kalahandi &amp; Nuapada</t>
  </si>
  <si>
    <t>Kalahandi (Bhawanipatna), Nuapada</t>
  </si>
  <si>
    <t>Medium to Deep Black Cotton &amp; Red Mixed Soil</t>
  </si>
  <si>
    <t>Granitic Gneiss &amp; Indravati Command Seepage</t>
  </si>
  <si>
    <t>OD-AZ-118</t>
  </si>
  <si>
    <t>Western Central Table Land - Sambalpur, Bargarh, Balangir &amp; Sonepur</t>
  </si>
  <si>
    <t>Sambalpur, Bargarh (Hirakud Command), Balangir, Subarnapur, Jharsuguda</t>
  </si>
  <si>
    <t>Red &amp; Yellow (Att, Mal, Berna, Bahal) &amp; Black Soil</t>
  </si>
  <si>
    <t>Granite-Gneiss &amp; Gondwana Sandstone</t>
  </si>
  <si>
    <t>OD-AZ-119</t>
  </si>
  <si>
    <t>Mid-Central Table Land - Angul &amp; Dhenkanal</t>
  </si>
  <si>
    <t>Angul, Dhenkanal</t>
  </si>
  <si>
    <t>Red Loamy &amp; Lateritic Soil</t>
  </si>
  <si>
    <t>Talcher Gondwana &amp; Crystalline Gneiss</t>
  </si>
  <si>
    <t>JK-AZ-120</t>
  </si>
  <si>
    <t>Jammu &amp; Kashmir</t>
  </si>
  <si>
    <t>Sub-Tropical Jammu Plains &amp; Kandi Zone - Jammu, Kathua &amp; Samba</t>
  </si>
  <si>
    <t>I - Western Himalayan Region</t>
  </si>
  <si>
    <t>Jammu, Samba, Kathua South, Udhampur Lowlands</t>
  </si>
  <si>
    <t>Alluvial Loam &amp; Kandi Bouldery Sandy Loam</t>
  </si>
  <si>
    <t>Jul-Sep (SWM) &amp; Jan-Mar (WD)</t>
  </si>
  <si>
    <t>Siwalik Bhabar-Tarai &amp; Chenab-Tawi Alluvium</t>
  </si>
  <si>
    <t>JK-AZ-121</t>
  </si>
  <si>
    <t>Intermediate Mid-Hill Pir Panjal Zone - Rajouri, Poonch, Doda &amp; Ramban</t>
  </si>
  <si>
    <t>Rajouri, Poonch, Reasi, Ramban, Doda, Kishtwar</t>
  </si>
  <si>
    <t>Sub-Montane Brown Forest Loam</t>
  </si>
  <si>
    <t>Jan-Apr (WD) &amp; Jul-Sep (SWM)</t>
  </si>
  <si>
    <t>Fractured Himalayan Metamorphics &amp; Springs</t>
  </si>
  <si>
    <t>Valley Irrigated Paddy (Basmati/Red Rice); Large Cardamom, Tea (Darjeeling/Kangra)</t>
  </si>
  <si>
    <t>Irrigated Vegetable Pea, Rajmash; High-Density Apple, Kiwi, Cherry, Strawberry, Bell Pepper</t>
  </si>
  <si>
    <t>Snowmelt/Spring Storage Tank + Gravity Drip</t>
  </si>
  <si>
    <t>JK-AZ-122</t>
  </si>
  <si>
    <t>Temperate Kashmir Valley Zone - Srinagar, Anantnag, Baramulla &amp; Pulwama</t>
  </si>
  <si>
    <t>Srinagar, Anantnag, Pulwama, Shopian, Kulgam, Baramulla, Budgam, Kupwara</t>
  </si>
  <si>
    <t>Karewa Lacustrine Silt Loam &amp; Jhelum Alluvial</t>
  </si>
  <si>
    <t>Jan-May (Western Disturbances &amp; Snowmelt)</t>
  </si>
  <si>
    <t>Jan-May Peak</t>
  </si>
  <si>
    <t>May 30</t>
  </si>
  <si>
    <t>Karewa Fluvio-Lacustrine &amp; Jhelum Valley Fill</t>
  </si>
  <si>
    <t>LA-AZ-123</t>
  </si>
  <si>
    <t>Ladakh</t>
  </si>
  <si>
    <t>Cold Arid Trans-Himalayan Zone - Leh &amp; Kargil</t>
  </si>
  <si>
    <t>Leh, Kargil, Nubra, Zanskar</t>
  </si>
  <si>
    <t>Skeletal Cryorthent Sandy-Gravelly Glacial Soil</t>
  </si>
  <si>
    <t>Jan-Mar (Snow) &amp; Jul-Aug (Scanty)</t>
  </si>
  <si>
    <t>Glacial Snowmelt</t>
  </si>
  <si>
    <t>Sep 15</t>
  </si>
  <si>
    <t>Glacial Moraine &amp; Indus Valley Alluvial Fans</t>
  </si>
  <si>
    <t>Finger Millet (Mandua), Barnyard Millet (Jhangora), Amaranthus, Buckwheat; Mustard (Toria), Perilla</t>
  </si>
  <si>
    <t>Black Soybean (Bhatt), Kidney Bean (Rajmash), Horse Gram, Lentil; Apricot, Walnut, Wild Pomegranate, Peach</t>
  </si>
  <si>
    <t>Rainfed Bench Terracing &amp; Mulching</t>
  </si>
  <si>
    <t>HP-AZ-124</t>
  </si>
  <si>
    <t>Himachal Pradesh</t>
  </si>
  <si>
    <t>Sub-Montane &amp; Low Hills Sub-Tropical (Zone I) - Una, Bilaspur, Hamirpur &amp; Kangra Low</t>
  </si>
  <si>
    <t>Una, Bilaspur, Hamirpur, Sirmaur (Paonta), Solan (Baddi), Kangra South</t>
  </si>
  <si>
    <t>Shivalik Alluvial &amp; Brown Hill Sandy Loam</t>
  </si>
  <si>
    <t>Intermontane Valley Fill (Soan/Paonta) &amp; Siwalik</t>
  </si>
  <si>
    <t>HP-AZ-125</t>
  </si>
  <si>
    <t>Mid-Hills Sub-Humid Zone (Zone II) - Palampur, Mandi, Solan &amp; Sirmaur Mid</t>
  </si>
  <si>
    <t>Kangra (Palampur), Mandi, Solan, Kullu Lower, Sirmaur Mid</t>
  </si>
  <si>
    <t>Acidic Brown Forest &amp; Podzolic Loam</t>
  </si>
  <si>
    <t>Alfisols / Mollisols</t>
  </si>
  <si>
    <t>Jun-Sep (Heavy SWM) &amp; Jan-Mar (WD)</t>
  </si>
  <si>
    <t>Intermontane Balh/Kangra Valley &amp; Springs</t>
  </si>
  <si>
    <t>HP-AZ-126</t>
  </si>
  <si>
    <t>High Hills Temperate Wet Apple Zone (Zone III) - Shimla, Kullu, Chamba &amp; Mandi High</t>
  </si>
  <si>
    <t>Shimla, Kullu, Chamba, Kinnaur Lower</t>
  </si>
  <si>
    <t>Humic Brown Forest &amp; Sub-Alpine Podzol</t>
  </si>
  <si>
    <t>Mollisols / Spodosols</t>
  </si>
  <si>
    <t>Jan-Apr (Snow/WD) &amp; Jul-Sep (SWM)</t>
  </si>
  <si>
    <t>Fractured Phyllite/Gneiss &amp; Snowfed Springs</t>
  </si>
  <si>
    <t>HP-AZ-127</t>
  </si>
  <si>
    <t>High Hills Temperate Dry Cold Zone (Zone IV) - Lahaul-Spiti &amp; Kinnaur</t>
  </si>
  <si>
    <t>Lahaul &amp; Spiti, Kinnaur Upper, Pangi</t>
  </si>
  <si>
    <t>Glacial Sandy Loam &amp; High-Altitude Skeletal</t>
  </si>
  <si>
    <t>Dec-Apr (Winter Snowfall)</t>
  </si>
  <si>
    <t>Glacial Outwash &amp; Kuhl Snowmelt Channels</t>
  </si>
  <si>
    <t>UK-AZ-128</t>
  </si>
  <si>
    <t>Uttarakhand</t>
  </si>
  <si>
    <t>Uttarakhand Bhabar &amp; Tarai Plains - Udham Singh Nagar &amp; Haridwar</t>
  </si>
  <si>
    <t>Udham Singh Nagar (Pantnagar, Rudrapur), Haridwar, Dehradun Doon</t>
  </si>
  <si>
    <t>Tarai Mollisols &amp; Fertile Doon Alluvial Loam</t>
  </si>
  <si>
    <t>High-Yielding Tarai Artesian &amp; Doon Gravel</t>
  </si>
  <si>
    <t>UK-AZ-129</t>
  </si>
  <si>
    <t>Uttarakhand Sub-Tropical &amp; Mid-Hills - Nainital, Almora, Pauri &amp; Tehri</t>
  </si>
  <si>
    <t>Almora, Nainital Hills, Bageshwar, Champawat, Pauri, Tehri</t>
  </si>
  <si>
    <t>Brown Forest Terrace Loam &amp; Valley Alluvial (Talaon)</t>
  </si>
  <si>
    <t>Inceptisols / Mollisols</t>
  </si>
  <si>
    <t>Jun-Sep (SWM) &amp; Jan-Mar (WD)</t>
  </si>
  <si>
    <t>Himalayan Fractured Metamorphics &amp; Naula Springs</t>
  </si>
  <si>
    <t>UK-AZ-130</t>
  </si>
  <si>
    <t>Uttarakhand High-Altitude Temperate &amp; Alpine Zone - Chamoli, Uttarkashi &amp; Pithoragarh</t>
  </si>
  <si>
    <t>Chamoli, Uttarkashi, Pithoragarh, Rudraprayag</t>
  </si>
  <si>
    <t>Sub-Alpine Humic Forest &amp; Glacial Loam</t>
  </si>
  <si>
    <t>Jun-Sep (SWM) &amp; Jan-Mar (Snow/WD)</t>
  </si>
  <si>
    <t>Jun 22-26</t>
  </si>
  <si>
    <t>Glacial Valleys &amp; Fractured Crystalline Springs</t>
  </si>
  <si>
    <t>AS-AZ-131</t>
  </si>
  <si>
    <t>Assam</t>
  </si>
  <si>
    <t>North Bank Plains Zone - Lakhimpur, Dhemaji, Sonitpur &amp; Darrang</t>
  </si>
  <si>
    <t>Assam &amp; Meghalaya</t>
  </si>
  <si>
    <t>Lakhimpur, Dhemaji, Biswanath, Sonitpur, Darrang, Udalguri</t>
  </si>
  <si>
    <t>Brahmaputra Younger &amp; Older Acidic Alluvium</t>
  </si>
  <si>
    <t>Apr-Sep (Pre-Monsoon Bordoisila + SWM)</t>
  </si>
  <si>
    <t>Jun 3-7</t>
  </si>
  <si>
    <t>Unconfined High-Recharge Brahmaputra Alluvium</t>
  </si>
  <si>
    <t>AS-AZ-132</t>
  </si>
  <si>
    <t>Upper Brahmaputra Valley Tea-Rice Zone - Tinsukia, Dibrugarh, Sivasagar &amp; Jorhat</t>
  </si>
  <si>
    <t>Tinsukia, Dibrugarh, Sivasagar, Charaideo, Jorhat, Golaghat</t>
  </si>
  <si>
    <t>Acidic Alluvial Clay Loam &amp; High-Organic Tea Soil</t>
  </si>
  <si>
    <t>Inceptisols / Ultisols</t>
  </si>
  <si>
    <t>Apr-Oct (Pre-Monsoon + Heavy SWM)</t>
  </si>
  <si>
    <t>Deep Quaternary Brahmaputra Valley Alluvium</t>
  </si>
  <si>
    <t>AS-AZ-133</t>
  </si>
  <si>
    <t>Central Brahmaputra Valley Zone - Nagaon, Morigaon &amp; Hojai</t>
  </si>
  <si>
    <t>Nagaon, Hojai, Morigaon (Rain-Shadow Belt of Lumding)</t>
  </si>
  <si>
    <t>Alluvial Silt &amp; Clay Loam</t>
  </si>
  <si>
    <t>Apr-Sep (Pre-Monsoon + SWM)</t>
  </si>
  <si>
    <t>Jun 4-8</t>
  </si>
  <si>
    <t>Kapili-Brahmaputra Alluvial Aquifer</t>
  </si>
  <si>
    <t>AS-AZ-134</t>
  </si>
  <si>
    <t>Lower Brahmaputra Valley Zone - Kamrup, Barpeta, Nalbari, Dhubri &amp; Bongaigaon</t>
  </si>
  <si>
    <t>Kamrup, Nalbari, Barpeta, Bongaigaon, Kokrajhar, Dhubri, Goalpara</t>
  </si>
  <si>
    <t>New &amp; Old Brahmaputra Alluvial Sandy-Silt Loam</t>
  </si>
  <si>
    <t>Shallow Unconfined High-Yield Alluvium</t>
  </si>
  <si>
    <t>AS-AZ-135</t>
  </si>
  <si>
    <t>Barak Valley Zone - Cachar, Karimganj &amp; Hailakandi</t>
  </si>
  <si>
    <t>Cachar (Silchar), Karimganj, Hailakandi</t>
  </si>
  <si>
    <t>Acidic Alluvial Clay &amp; Tilla Red Loam</t>
  </si>
  <si>
    <t>Apr-Oct (Heavy Pre-Monsoon &amp; SWM)</t>
  </si>
  <si>
    <t>Barak Fluvial Alluvium &amp; Tipam Sandstone</t>
  </si>
  <si>
    <t>AS-AZ-136</t>
  </si>
  <si>
    <t>Karbi Anglong &amp; Dima Hasao Hill Zone</t>
  </si>
  <si>
    <t>Karbi Anglong (Diphu), West Karbi Anglong, Dima Hasao (Haflong)</t>
  </si>
  <si>
    <t>Red Loamy &amp; Lateritic Hill Soil</t>
  </si>
  <si>
    <t>Ultisols / Alfisols</t>
  </si>
  <si>
    <t>Apr-Oct (SW Monsoon)</t>
  </si>
  <si>
    <t>Fractured Gneiss, Tertiary Shale &amp; Springs</t>
  </si>
  <si>
    <t>SK-AZ-137</t>
  </si>
  <si>
    <t>Sikkim</t>
  </si>
  <si>
    <t>Sikkim Himalayan Organic Cardamom-Ginger Zone - Gangtok, Namchi, Gyalshing &amp; Mangan</t>
  </si>
  <si>
    <t>Gangtok, Pakyong, Namchi, Soreng, Gyalshing, Mangan</t>
  </si>
  <si>
    <t>Brown Forest Acidic Humic Loam</t>
  </si>
  <si>
    <t>Himalayan Dhara Springs &amp; Fractured Schist</t>
  </si>
  <si>
    <t>AR-AZ-138</t>
  </si>
  <si>
    <t>Arunachal Pradesh</t>
  </si>
  <si>
    <t>Arunachal Sub-Tropical &amp; Temperate Himalayan Zone - Itanagar, Pasighat, Ziro &amp; Tawang</t>
  </si>
  <si>
    <t>Papum Pare, East Siang (Pasighat), Lower Subansiri (Ziro), Lohit, Tawang</t>
  </si>
  <si>
    <t>Acidic Forest Humic &amp; Foothill Bhabar Soil</t>
  </si>
  <si>
    <t>Apr-Oct (Pre-Monsoon + Torrential SWM)</t>
  </si>
  <si>
    <t>Piedmont Bhabar &amp; Mountain Springs</t>
  </si>
  <si>
    <t>ML-AZ-139</t>
  </si>
  <si>
    <t>Meghalaya</t>
  </si>
  <si>
    <t>Meghalaya Plateau High-Rainfall Zone - Shillong, Sohra (Cherrapunji), Jowai &amp; Tura</t>
  </si>
  <si>
    <t>East/West Khasi Hills (Shillong, Sohra), Jaintia Hills, Garo Hills (Tura)</t>
  </si>
  <si>
    <t>Red Lateritic &amp; High-Organic Acid Hill Soil</t>
  </si>
  <si>
    <t>Apr-Oct (World Highest Orographic SWM)</t>
  </si>
  <si>
    <t>Shillong Quartzite/Gneiss, Karst &amp; Springs</t>
  </si>
  <si>
    <t>MN-AZ-140</t>
  </si>
  <si>
    <t>Manipur</t>
  </si>
  <si>
    <t>Manipur Imphal Valley &amp; Hill Zone - Imphal, Thoubal, Bishnupur &amp; Churachandpur</t>
  </si>
  <si>
    <t>Nagaland, Manipur, Mizoram &amp; Tripura</t>
  </si>
  <si>
    <t>Imphal West/East, Thoubal, Bishnupur, Churachandpur, Ukhrul</t>
  </si>
  <si>
    <t>Lacustrine Alluvial Clay (Valley) &amp; Red Hill Loam</t>
  </si>
  <si>
    <t>Apr-Oct (Pre-Monsoon + SWM)</t>
  </si>
  <si>
    <t>Imphal Lacustrine Fluvial &amp; Disang Shale</t>
  </si>
  <si>
    <t>NL-AZ-141</t>
  </si>
  <si>
    <t>Nagaland</t>
  </si>
  <si>
    <t>Nagaland Jhum &amp; Terrace Hill Zone - Kohima, Dimapur, Mokokchung &amp; Wokha</t>
  </si>
  <si>
    <t>Dimapur, Chumoukedima, Kohima, Mokokchung, Wokha, Tuensang</t>
  </si>
  <si>
    <t>Acidic Forest Loam &amp; Dhansiri Valley Alluvium</t>
  </si>
  <si>
    <t>Tipam/Barail Sandstone &amp; Piedmont Alluvium</t>
  </si>
  <si>
    <t>MZ-AZ-142</t>
  </si>
  <si>
    <t>Mizoram</t>
  </si>
  <si>
    <t>Mizoram Lushai Hills Bamboo-Horticulture Zone - Aizawl, Lunglei &amp; Champhai</t>
  </si>
  <si>
    <t>Aizawl, Lunglei, Champhai, Kolasib, Serchhip</t>
  </si>
  <si>
    <t>Steep Acidic Humic Sandy Clay Loam</t>
  </si>
  <si>
    <t>Jun 1-4</t>
  </si>
  <si>
    <t>Surma Tertiary Sandstone/Shale &amp; Tuikhob Springs</t>
  </si>
  <si>
    <t>Tank-Fed Double Paddy; Sugarcane, Betelvine</t>
  </si>
  <si>
    <t>Fodder Cowpea / Lucerne; Arecanut, Coconut, Tissue-Culture Banana</t>
  </si>
  <si>
    <t>Drip + Percolation Tank Recharge</t>
  </si>
  <si>
    <t>TR-AZ-143</t>
  </si>
  <si>
    <t>Tripura</t>
  </si>
  <si>
    <t>Tripura Tilla-Lunga Rubber-Pineapple-Rice Zone - Agartala, Udaipur &amp; Dharmanagar</t>
  </si>
  <si>
    <t>West Tripura (Agartala), Gomati (Udaipur), North Tripura, Sepahijala</t>
  </si>
  <si>
    <t>Reddish Tilla Sandy Loam &amp; Lunga Valley Alluvium</t>
  </si>
  <si>
    <t>Apr-Oct (Heavy Pre-Monsoon Kalbaishakhi + SWM)</t>
  </si>
  <si>
    <t>Tipam/Dupitila Unconsolidated Sandstone</t>
  </si>
  <si>
    <t>GA-AZ-144</t>
  </si>
  <si>
    <t>Goa</t>
  </si>
  <si>
    <t>Goa Coastal Khazan &amp; Western Ghats Spice-Cashew Zone</t>
  </si>
  <si>
    <t>North Goa (Panaji, Mapusa), South Goa (Margao, Ponda)</t>
  </si>
  <si>
    <t>Lateritic Acid Loam &amp; Coastal Khazan Alluvium</t>
  </si>
  <si>
    <t>AN-AZ-145</t>
  </si>
  <si>
    <t>Andaman &amp; Nicobar</t>
  </si>
  <si>
    <t>Andaman &amp; Nicobar Tropical Island Coconut-Spices-Rice Zone</t>
  </si>
  <si>
    <t>XV - Island Region</t>
  </si>
  <si>
    <t>Andaman &amp; Nicobar Islands</t>
  </si>
  <si>
    <t>South Andaman (Port Blair), North &amp; Middle Andaman, Nicobar</t>
  </si>
  <si>
    <t>Tropical Red Loamy, Coral Sandy &amp; Mangrove Acid Sulphate</t>
  </si>
  <si>
    <t>May-Dec (8-Month SW &amp; NE Monsoon)</t>
  </si>
  <si>
    <t>May 18-22</t>
  </si>
  <si>
    <t>Coralline Limestone, Flysch Sandstone &amp; Valley Sand</t>
  </si>
  <si>
    <t>LD-AZ-146</t>
  </si>
  <si>
    <t>Lakshadweep</t>
  </si>
  <si>
    <t>Lakshadweep Coral Atoll Coconut-Lagoon Zone</t>
  </si>
  <si>
    <t>Kavaratti, Agatti, Minicoy, Andrott</t>
  </si>
  <si>
    <t>Coralline Calcareous Sandy Soil (High pH)</t>
  </si>
  <si>
    <t>May 28-Jun 2</t>
  </si>
  <si>
    <t>Freshwater Ghyben-Herzberg Lens over Seawater</t>
  </si>
  <si>
    <t>PY-AZ-147</t>
  </si>
  <si>
    <t>Puducherry</t>
  </si>
  <si>
    <t>Puducherry &amp; Karaikal Coastal Alluvial Zone</t>
  </si>
  <si>
    <t>Puducherry, Karaikal</t>
  </si>
  <si>
    <t>Coastal &amp; Cauvery Deltaic Alluvium</t>
  </si>
  <si>
    <t>Cuddalore Tertiary Sandstone &amp; Alluvium (Saline Intrusion Risk)</t>
  </si>
  <si>
    <t>AP-AZ-148</t>
  </si>
  <si>
    <t>Upland Godavari Agency &amp; Polavaram Command Zone</t>
  </si>
  <si>
    <t>Eluru Agency (Polavaram, Jangareddygudem), East Godavari Upland</t>
  </si>
  <si>
    <t>Red Ferruginous Sandy Clay Loam</t>
  </si>
  <si>
    <t>Gondwana Chintalapudi Sandstone (High Yield Deep)</t>
  </si>
  <si>
    <t>AP-AZ-149</t>
  </si>
  <si>
    <t>Rayalaseema Western Dry Peanut-Millet Belt - Hindupur, Kadiri &amp; Madanapalle</t>
  </si>
  <si>
    <t>Sri Sathya Sai (Hindupur, Kadiri), Annamayya West (Madanapalle)</t>
  </si>
  <si>
    <t>Red Gravelly &amp; Calcareous Loam</t>
  </si>
  <si>
    <t>Jul-Nov (Bi-Modal SW &amp; NE)</t>
  </si>
  <si>
    <t>Deep Fractured Granite-Gneiss (Over-Exploited)</t>
  </si>
  <si>
    <t>AP-AZ-150</t>
  </si>
  <si>
    <t>Pennar-Somasila-Kandaleru Command Zone - Nellore &amp; Tirupati North</t>
  </si>
  <si>
    <t>SPSR Nellore (Kovur, Kavali), Tirupati (Gudur, Sullurpeta)</t>
  </si>
  <si>
    <t>Deltaic Alluvial, Lateritic &amp; Coastal Sandy Loam</t>
  </si>
  <si>
    <t>Oct-Dec (NE Monsoon Peak)</t>
  </si>
  <si>
    <t>Pennar Riverine Alluvium &amp; Lateritic Sandstone</t>
  </si>
  <si>
    <t>Rain_2011_mm</t>
  </si>
  <si>
    <t>Rain_2012_mm</t>
  </si>
  <si>
    <t>Rain_2013_mm</t>
  </si>
  <si>
    <t>Rain_2014_mm</t>
  </si>
  <si>
    <t>Rain_2015_mm</t>
  </si>
  <si>
    <t>Rain_2016_mm</t>
  </si>
  <si>
    <t>Rain_2017_mm</t>
  </si>
  <si>
    <t>Rain_2018_mm</t>
  </si>
  <si>
    <t>Rain_2019_mm</t>
  </si>
  <si>
    <t>Rain_2020_mm</t>
  </si>
  <si>
    <t>Rain_2021_mm</t>
  </si>
  <si>
    <t>Rain_2022_mm</t>
  </si>
  <si>
    <t>Rain_2023_mm</t>
  </si>
  <si>
    <t>Rain_2024_mm</t>
  </si>
  <si>
    <t>Rain_2025_mm</t>
  </si>
  <si>
    <t>Avg_15Yr_Rainfall_mm</t>
  </si>
  <si>
    <t>Min_15Yr_Rainfall_mm</t>
  </si>
  <si>
    <t>Max_15Yr_Rainfall_mm</t>
  </si>
  <si>
    <t>StdDev_15Yr_mm</t>
  </si>
  <si>
    <t>Rainfall_CV_pct</t>
  </si>
  <si>
    <t>Departure_from_LPA_pct</t>
  </si>
  <si>
    <t>Drought_Years_Last_15Yr</t>
  </si>
  <si>
    <t>Excess_Years_Last_15Yr</t>
  </si>
  <si>
    <t>Primary_Rainy_Season</t>
  </si>
  <si>
    <t>Pre_Monsoon_Water_Level_May_mbgl</t>
  </si>
  <si>
    <t>Post_Monsoon_Water_Level_Nov_mbgl</t>
  </si>
  <si>
    <t>Seasonal_Water_Table_Rise_m</t>
  </si>
  <si>
    <t>Rabi_MidSeason_Water_Level_Jan_mbgl</t>
  </si>
  <si>
    <t>Monsoon_GW_Recharge_mm</t>
  </si>
  <si>
    <t>Non_Monsoon_GW_Recharge_mm</t>
  </si>
  <si>
    <t>Total_Annual_GW_Recharge_mm</t>
  </si>
  <si>
    <t>Kharif_Effective_Rainfall_mm</t>
  </si>
  <si>
    <t>Kharif_Usable_GW_Supply_mm</t>
  </si>
  <si>
    <t>Kharif_Total_Water_Availability_mm</t>
  </si>
  <si>
    <t>Rabi_Effective_Rainfall_mm</t>
  </si>
  <si>
    <t>Rabi_Residual_Soil_Moisture_mm</t>
  </si>
  <si>
    <t>Rabi_Usable_GW_Supply_mm</t>
  </si>
  <si>
    <t>Rabi_Total_Water_Availability_mm</t>
  </si>
  <si>
    <t>Summer_Effective_Rainfall_mm</t>
  </si>
  <si>
    <t>Summer_Usable_GW_Supply_mm</t>
  </si>
  <si>
    <t>Summer_Total_Water_Availability_mm</t>
  </si>
  <si>
    <t>CGWB_Block_Categorization</t>
  </si>
  <si>
    <t>Aquifer_Sustainability_Directive</t>
  </si>
  <si>
    <t>Promote Assured Surface + GW Irrigation</t>
  </si>
  <si>
    <t>Mandate Micro-Irrigation (Drip/Sprinkler) &amp; Artificial Recharge</t>
  </si>
  <si>
    <t>Restrict High-Water Paddy/Sugarcane; Shift to Millets/Pulses/Oilseeds</t>
  </si>
  <si>
    <t>Soil_Tier_ID</t>
  </si>
  <si>
    <t>Soil_Type_Name</t>
  </si>
  <si>
    <t>Soil_Texture_and_Drainage</t>
  </si>
  <si>
    <t>Soil_pH_Range</t>
  </si>
  <si>
    <t>Water_Need_Segregation_Tier</t>
  </si>
  <si>
    <t>Crop_Water_Need_ETc_Range_mm</t>
  </si>
  <si>
    <t>Required_Zone_Rainfall_Range_mm</t>
  </si>
  <si>
    <t>Permissible_GW_Depth_Range_mbgl</t>
  </si>
  <si>
    <t>Compatible_CGWB_Block_Status</t>
  </si>
  <si>
    <t>Suggested_Cereals_and_Millets</t>
  </si>
  <si>
    <t>Suggested_Pulses_and_Oilseeds</t>
  </si>
  <si>
    <t>Suggested_Commercial_and_Spices</t>
  </si>
  <si>
    <t>Suggested_Vegetables_Fruits_Plantation</t>
  </si>
  <si>
    <t>Recommended_Irrigation_Technology</t>
  </si>
  <si>
    <t>Soil_Moisture_Conservation_Practice</t>
  </si>
  <si>
    <t>Source_ID</t>
  </si>
  <si>
    <t>SOIL-01-T1</t>
  </si>
  <si>
    <t>Deep Black Cotton Soil (Regur)</t>
  </si>
  <si>
    <t>Heavy Clay (50-70% Clay), Slow Drainage, High Swell-Shrink</t>
  </si>
  <si>
    <t>7.5 - 8.5</t>
  </si>
  <si>
    <t>Low Water Need (&lt;400 mm)</t>
  </si>
  <si>
    <t>220 - 400 mm</t>
  </si>
  <si>
    <t>&lt; 550 mm (Arid / Scarce Rainfed)</t>
  </si>
  <si>
    <t>15.0 - 45.0 mbgl (Deep / Stressed)</t>
  </si>
  <si>
    <t>Over-Exploited / Critical (&gt;90% Extraction)</t>
  </si>
  <si>
    <t>Sorghum (Rabi Jowar), Pearl Millet, Foxtail Millet</t>
  </si>
  <si>
    <t>Bengal Gram (Chickpea), Red Gram, Safflower, Mustard</t>
  </si>
  <si>
    <t>Desi Cotton, Coriander (Grain)</t>
  </si>
  <si>
    <t>Cluster Bean, Ber, Custard Apple</t>
  </si>
  <si>
    <t>Ridge-Furrow &amp; Alternate Furrow Drip</t>
  </si>
  <si>
    <t>In-situ Moisture Conservation, Ridge-Furrow,Compartmental Bunding &amp; Mulching</t>
  </si>
  <si>
    <t>SRC-ICAR-NBSS-IIWM</t>
  </si>
  <si>
    <t>SOIL-01-T2</t>
  </si>
  <si>
    <t>Medium Water Need (400-700 mm)</t>
  </si>
  <si>
    <t>400 - 700 mm</t>
  </si>
  <si>
    <t>550 - 950 mm (Semi-Arid / Transitional)</t>
  </si>
  <si>
    <t>8.0 - 18.0 mbgl (Moderate Depth)</t>
  </si>
  <si>
    <t>Semi-Critical / Safe (65-90% Extraction)</t>
  </si>
  <si>
    <t>Maize, Wheat (Durum/Timely), Hybrid Sorghum</t>
  </si>
  <si>
    <t>Soybean, Black Gram, Green Gram, Sunflower</t>
  </si>
  <si>
    <t>Bt Cotton, Guntur Chilli, Soybean</t>
  </si>
  <si>
    <t>Onion, Tomato, Garlic, Guava, Pomegranate</t>
  </si>
  <si>
    <t>Broad-Bed Furrow (BBF), Deficit Drip &amp; Critical Stage Sprinkler Irrigation</t>
  </si>
  <si>
    <t>SOIL-01-T3</t>
  </si>
  <si>
    <t>High Water Need (700-1200 mm)</t>
  </si>
  <si>
    <t>700 - 1,200 mm</t>
  </si>
  <si>
    <t>950 - 1,500 mm (Sub-Humid / Assured)</t>
  </si>
  <si>
    <t>3.0 - 10.0 mbgl (Shallow to Medium Safe)</t>
  </si>
  <si>
    <t>Safe (&lt;70% Extraction) + Canal Command</t>
  </si>
  <si>
    <t>Transplanted Rice (Kharif), Rabi Maize</t>
  </si>
  <si>
    <t>Irrigated Groundnut, Rajmash</t>
  </si>
  <si>
    <t>Turmeric, Irrigated Hybrid Cotton, Chilli</t>
  </si>
  <si>
    <t>Banana, Sweet Orange (Mosambi), Papaya, Brinjal</t>
  </si>
  <si>
    <t>Alternate Wetting &amp; Drying (AWD), Automated Drip Fertigation &amp; Laser Leveling</t>
  </si>
  <si>
    <t>SOIL-01-T4</t>
  </si>
  <si>
    <t>Very High / Intensive (&gt;1200 mm)</t>
  </si>
  <si>
    <t>1,200 - 2,200 mm</t>
  </si>
  <si>
    <t>&gt; 1,500 mm (Humid / Deltaic / Per-Humid)</t>
  </si>
  <si>
    <t>&lt; 5.0 mbgl (Very Shallow Phreatic)</t>
  </si>
  <si>
    <t>Safe (&lt;50% Extraction) + Perennial Surface Water</t>
  </si>
  <si>
    <t>Double-Cropped Paddy (Kharif + Rabi)</t>
  </si>
  <si>
    <t>Dhaincha / Sunnhemp (Green Manure)</t>
  </si>
  <si>
    <t>Sugarcane (Plant &amp; Ratoon), Betelvine</t>
  </si>
  <si>
    <t>Tissue-Culture Banana, Turmeric-Maize System</t>
  </si>
  <si>
    <t>Conjunctive Surface-Groundwater Use, Sub-Surface Drip &amp; Biodrainage</t>
  </si>
  <si>
    <t>SOIL-02-T1</t>
  </si>
  <si>
    <t>Medium Black Soil</t>
  </si>
  <si>
    <t>Clay Loam to Silty Clay (35-50% Clay), Moderate Drainage</t>
  </si>
  <si>
    <t>7.0 - 8.2</t>
  </si>
  <si>
    <t>Pearl Millet (Bajra), Rabi Sorghum, Little Millet</t>
  </si>
  <si>
    <t>Pigeonpea (Red Gram), Chickpea, Green Gram, Sesame</t>
  </si>
  <si>
    <t>Rainfed Cotton, Castor</t>
  </si>
  <si>
    <t>Drumstick (Moringa), Amla, Custard Apple</t>
  </si>
  <si>
    <t>Broad-Bed &amp; Furrow (BBF) + Rainwater Gun</t>
  </si>
  <si>
    <t>SOIL-02-T2</t>
  </si>
  <si>
    <t>Kharif Maize, Wheat, Finger Millet (Ragi)</t>
  </si>
  <si>
    <t>Soybean, Groundnut, Black Gram, Sunflower</t>
  </si>
  <si>
    <t>Bt Cotton, Chilli, Turmeric</t>
  </si>
  <si>
    <t>Tomato, Onion, Okra (Bhendi), Pomegranate, Acid Lime</t>
  </si>
  <si>
    <t>SOIL-02-T3</t>
  </si>
  <si>
    <t>Rice (Paddy), Hybrid Maize, Wheat (3-4 Irrigations)</t>
  </si>
  <si>
    <t>Rabi Groundnut, Field Pea</t>
  </si>
  <si>
    <t>Sugarcane (Drip), Ginger, Turmeric</t>
  </si>
  <si>
    <t>Banana, Grapes, Sweet Orange, Cabbage</t>
  </si>
  <si>
    <t>SOIL-02-T4</t>
  </si>
  <si>
    <t>Intensive Paddy-Paddy System</t>
  </si>
  <si>
    <t>Sesbania Green Manure</t>
  </si>
  <si>
    <t>Sugarcane (Eksali/Adsali)</t>
  </si>
  <si>
    <t>Banana, Papaya, Cut-Flowers (Rose/Marigold)</t>
  </si>
  <si>
    <t>SOIL-03-T1</t>
  </si>
  <si>
    <t>Shallow Black Soil (Skeletal Deccan)</t>
  </si>
  <si>
    <t>Gravelly Clay Loam, Rapid Surface Runoff, Shallow Depth (&lt;45 cm)</t>
  </si>
  <si>
    <t>6.8 - 7.8</t>
  </si>
  <si>
    <t>SOIL-03-T2</t>
  </si>
  <si>
    <t>SOIL-03-T3</t>
  </si>
  <si>
    <t>SOIL-03-T4</t>
  </si>
  <si>
    <t>SOIL-04-T1</t>
  </si>
  <si>
    <t>Red Sandy Loam (Chalka / Alfisol)</t>
  </si>
  <si>
    <t>Sandy Loam to Loamy Sand, Well Drained, Low N &amp; P, Crusting Risk</t>
  </si>
  <si>
    <t>6.0 - 7.2</t>
  </si>
  <si>
    <t>Foxtail Millet (Korralu), Pearl Millet, Kodo Millet, Sorghum</t>
  </si>
  <si>
    <t>Horse Gram (Ulavalu), Red Gram, Green Gram, Castor, Groundnut (Rainfed)</t>
  </si>
  <si>
    <t>Mesta, Rainfed Desi Cotton</t>
  </si>
  <si>
    <t>Tamarind, Ber, Custard Apple, Drumstick</t>
  </si>
  <si>
    <t>SOIL-04-T2</t>
  </si>
  <si>
    <t>Finger Millet (Ragi), Maize, Sorghum</t>
  </si>
  <si>
    <t>Groundnut (Irrigated), Cowpea, Black Gram, Sunflower, Sesame</t>
  </si>
  <si>
    <t>Chilli, Virginia Tobacco (FCV), Bt Cotton</t>
  </si>
  <si>
    <t>Tomato, Brinjal, Onion, Mango, Guava, Sweet Orange</t>
  </si>
  <si>
    <t>SOIL-04-T3</t>
  </si>
  <si>
    <t>Irrigated Paddy (SRI Method), Hybrid Sweet Corn</t>
  </si>
  <si>
    <t>Rabi Groundnut, Vegetable Cowpea</t>
  </si>
  <si>
    <t>Turmeric, Ginger, Mulberry (Sericulture)</t>
  </si>
  <si>
    <t>Papaya, Banana, Pomegranate, Capsicum, Watermelon</t>
  </si>
  <si>
    <t>SOIL-04-T4</t>
  </si>
  <si>
    <t>Tank-Fed Double Paddy</t>
  </si>
  <si>
    <t>Fodder Cowpea / Lucerne</t>
  </si>
  <si>
    <t>Sugarcane, Betelvine</t>
  </si>
  <si>
    <t>Arecanut, Coconut, Tissue-Culture Banana</t>
  </si>
  <si>
    <t>SOIL-05-T1</t>
  </si>
  <si>
    <t>Red Clay Loam (Ferruginous Red)</t>
  </si>
  <si>
    <t>Sandy Clay Loam, Moderately Well Drained, Fe/Al Oxide Rich</t>
  </si>
  <si>
    <t>5.8 - 7.0</t>
  </si>
  <si>
    <t>SOIL-05-T2</t>
  </si>
  <si>
    <t>SOIL-05-T3</t>
  </si>
  <si>
    <t>SOIL-05-T4</t>
  </si>
  <si>
    <t>SOIL-06-T1</t>
  </si>
  <si>
    <t>Deltaic Alluvial Soil (East Coast Deltas)</t>
  </si>
  <si>
    <t>Deep Silt Clay Loam, High Fertility, High Water Table</t>
  </si>
  <si>
    <t>6.5 - 7.8</t>
  </si>
  <si>
    <t>Finger Millet, Sorghum (Rice-Fallow)</t>
  </si>
  <si>
    <t>Black Gram (Rice-Fallow Urad), Green Gram, Sesame, Lathyrus</t>
  </si>
  <si>
    <t>Sunnhemp, Jute (Rainfed)</t>
  </si>
  <si>
    <t>Okra, Pumpkin, Bitter Gourd</t>
  </si>
  <si>
    <t>Zero-Tillage Residual Soil Moisture Conservation</t>
  </si>
  <si>
    <t>SOIL-06-T2</t>
  </si>
  <si>
    <t>Direct-Seeded Rice (DSR), Rabi Maize, Wheat</t>
  </si>
  <si>
    <t>Groundnut (Rabi), Mustard, Soybean, Lentil</t>
  </si>
  <si>
    <t>Cotton (Rice-Fallow), Chilli, Jute</t>
  </si>
  <si>
    <t>Tomato, Brinjal, Onion, Cauliflower, Mango, Guava</t>
  </si>
  <si>
    <t>SOIL-06-T3</t>
  </si>
  <si>
    <t>Transplanted Kharif &amp; Rabi Paddy, Hybrid Maize</t>
  </si>
  <si>
    <t>Summer Green Gram, Rajmash</t>
  </si>
  <si>
    <t>Sugarcane, Turmeric, Ginger</t>
  </si>
  <si>
    <t>Banana (Grand Naine), Coconut, Papaya, Oil Palm</t>
  </si>
  <si>
    <t>SOIL-06-T4</t>
  </si>
  <si>
    <t>Triple Cropping (Paddy-Paddy-Pulse/Maize)</t>
  </si>
  <si>
    <t>Dhaincha Green Manuring</t>
  </si>
  <si>
    <t>Sugarcane-Ratoon, Betelvine</t>
  </si>
  <si>
    <t>Oil Palm, Coconut-Cocoa-Banana Multi-Tier</t>
  </si>
  <si>
    <t>SOIL-07-T1</t>
  </si>
  <si>
    <t>Indo-Gangetic Newer Alluvial (Khadar)</t>
  </si>
  <si>
    <t>Silty Loam to Fine Sandy Loam, Annual Floodplain Renewal</t>
  </si>
  <si>
    <t>Pearl Millet (Bajra), Barley, Sorghum</t>
  </si>
  <si>
    <t>Chickpea (Gram), Lentil (Masoor), Mustard (Toria/Raya), Cluster Bean</t>
  </si>
  <si>
    <t>Sunnhemp, Guar</t>
  </si>
  <si>
    <t>Ber, Amla, Guava, Carrot</t>
  </si>
  <si>
    <t>SOIL-07-T2</t>
  </si>
  <si>
    <t>Wheat (Zero-Till), Maize, Basmati Rice (DSR)</t>
  </si>
  <si>
    <t>Pigeonpea (Arhar), Field Pea, Groundnut, Soybean, Mustard</t>
  </si>
  <si>
    <t>Cotton (American/Desi), Potato</t>
  </si>
  <si>
    <t>Potato, Onion, Tomato, Cauliflower, Mango, Kinnow</t>
  </si>
  <si>
    <t>SOIL-07-T3</t>
  </si>
  <si>
    <t>Transplanted Rice-Wheat System, Spring Maize</t>
  </si>
  <si>
    <t>Summer Moong (Short-Duration)</t>
  </si>
  <si>
    <t>Sugarcane (Autumn/Spring), Mentha</t>
  </si>
  <si>
    <t>Banana, Litchi, Mango, Guava, Commercial Vegetables</t>
  </si>
  <si>
    <t>SOIL-07-T4</t>
  </si>
  <si>
    <t>Intensive Rice-Wheat-Summer Moong / Boro Rice</t>
  </si>
  <si>
    <t>Sesbania (Dhaincha)</t>
  </si>
  <si>
    <t>Sugarcane + Intercropped Potato/Mustard</t>
  </si>
  <si>
    <t>Makhana (Foxnut), Water Chestnut, Banana</t>
  </si>
  <si>
    <t>SOIL-08-T1</t>
  </si>
  <si>
    <t>Indo-Gangetic Older Alluvial (Bangar)</t>
  </si>
  <si>
    <t>Clay Loam with Kankar (Calcareous Nodules), Deep Profile</t>
  </si>
  <si>
    <t>7.2 - 8.2</t>
  </si>
  <si>
    <t>SOIL-08-T2</t>
  </si>
  <si>
    <t>SOIL-08-T3</t>
  </si>
  <si>
    <t>SOIL-08-T4</t>
  </si>
  <si>
    <t>SOIL-09-T1</t>
  </si>
  <si>
    <t>Lateritic Soil (Western &amp; Eastern Ghats)</t>
  </si>
  <si>
    <t>Ultisols / Oxisols</t>
  </si>
  <si>
    <t>Acidic Gravelly Porous Clay Loam, High Leaching, P-Fixing</t>
  </si>
  <si>
    <t>4.8 - 6.0</t>
  </si>
  <si>
    <t>Finger Millet (Ragi), Little Millet, Kodo Millet</t>
  </si>
  <si>
    <t>Horse Gram, Cowpea, Niger Seed, Sesame</t>
  </si>
  <si>
    <t>Mesta, Lemongrass</t>
  </si>
  <si>
    <t>Cashew, Jackfruit, Pineapple, Mango</t>
  </si>
  <si>
    <t>SOIL-09-T2</t>
  </si>
  <si>
    <t>Upland/Midland Rainfed Paddy, Maize</t>
  </si>
  <si>
    <t>Groundnut, Black Gram, Soybean</t>
  </si>
  <si>
    <t>Turmeric, Ginger, Tapioca (Cassava)</t>
  </si>
  <si>
    <t>Pepper, Banana,Sweet Potato, Brinjal, Amaranthus</t>
  </si>
  <si>
    <t>Gravity-Fed Micro-Sprinkler &amp; Drip</t>
  </si>
  <si>
    <t>SOIL-09-T3</t>
  </si>
  <si>
    <t>Lowland Transplanted Paddy, Sweet Corn</t>
  </si>
  <si>
    <t>Irrigated Cowpea, French Bean</t>
  </si>
  <si>
    <t>Black Pepper, Cardamom, Coffee, Tea</t>
  </si>
  <si>
    <t>Coconut, Arecanut, Nutmeg, Clove, Banana</t>
  </si>
  <si>
    <t>SOIL-09-T4</t>
  </si>
  <si>
    <t>Double-Cropped Virippu &amp; Mundakan Paddy</t>
  </si>
  <si>
    <t>Green Leaf Manure (Gliricidia)</t>
  </si>
  <si>
    <t>Sugarcane, Vanilla, Tea-Pepper System</t>
  </si>
  <si>
    <t>Arecanut-Cocoa-Banana-Nutmeg Homestead</t>
  </si>
  <si>
    <t>SOIL-10-T1</t>
  </si>
  <si>
    <t>Arid Desert Sandy Soil (Thar Aeolian)</t>
  </si>
  <si>
    <t>Coarse Windblown Sand (85-95% Sand), Very High Infiltration, Low OC</t>
  </si>
  <si>
    <t>7.8 - 8.8</t>
  </si>
  <si>
    <t>Pearl Millet (Bajra), Moth Bean, Cluster Bean (Guar)</t>
  </si>
  <si>
    <t>Moong Bean, Sesame (Til), Taramira, Castor</t>
  </si>
  <si>
    <t>Isabgol (Psyllium), Cumin (Zeera)</t>
  </si>
  <si>
    <t>Khejri, Ber (Seb), Date Palm, Pomegranate</t>
  </si>
  <si>
    <t>SOIL-10-T2</t>
  </si>
  <si>
    <t>Wheat (Restricted Irrigation), Barley, Sorghum</t>
  </si>
  <si>
    <t>Mustard (Raya), Chickpea (Chana), Groundnut</t>
  </si>
  <si>
    <t>Cumin, Fenugreek (Methi), Coriander, Bt Cotton</t>
  </si>
  <si>
    <t>Kinnow Mandarin, Pomegranate (Bhagwa), Onion, Garlic</t>
  </si>
  <si>
    <t>SOIL-10-T3</t>
  </si>
  <si>
    <t>Irrigated Wheat, Hybrid Maize, Paddy (IGNP Canal Only)</t>
  </si>
  <si>
    <t>Irrigated Groundnut, Soybean</t>
  </si>
  <si>
    <t>American Cotton, Sugarcane (Canal Pocket)</t>
  </si>
  <si>
    <t>Date Palm (Barhee), Sweet Orange, Tomato</t>
  </si>
  <si>
    <t>Canal Diggi Storage + Automated Drip</t>
  </si>
  <si>
    <t>SOIL-10-T4</t>
  </si>
  <si>
    <t>Not Recommended in Arid Dune Tracts (Salinity/Waterlogging Risk)</t>
  </si>
  <si>
    <t>Lucerne (Alfalfa - Limited Canal Pocket)</t>
  </si>
  <si>
    <t>Fodder Sorghum / Napier</t>
  </si>
  <si>
    <t>Irrigated Orchard Belts Only</t>
  </si>
  <si>
    <t>Strict Canal Rationing + Subsurface Drainage</t>
  </si>
  <si>
    <t>SOIL-11-T1</t>
  </si>
  <si>
    <t>Coastal Sandy &amp; Alluvial Soil</t>
  </si>
  <si>
    <t>Coarse Sand to Sandy Loam, Shallow Freshwater Lens, Salt Spray</t>
  </si>
  <si>
    <t>Finger Millet, Pearl Millet</t>
  </si>
  <si>
    <t>Cowpea, Horse Gram, Black Gram, Groundnut, Sesame</t>
  </si>
  <si>
    <t>Casuarina (Shelterbelt), Palmyra</t>
  </si>
  <si>
    <t>Cashew, Watermelon, Muskmelon, Cucumber</t>
  </si>
  <si>
    <t>Pitcher / Pot Irrigation &amp; Mulched Drip</t>
  </si>
  <si>
    <t>SOIL-11-T2</t>
  </si>
  <si>
    <t>Salt-Tolerant Paddy, Maize</t>
  </si>
  <si>
    <t>Rabi Groundnut, Green Gram, Sunflower</t>
  </si>
  <si>
    <t>Chilli, Tobacco (Coastal Natu)</t>
  </si>
  <si>
    <t>Coconut, Sapota (Chikoo), Guava, Okra, Brinjal</t>
  </si>
  <si>
    <t>Skimming Well + Low-Discharge Drip</t>
  </si>
  <si>
    <t>SOIL-11-T3</t>
  </si>
  <si>
    <t>Kharif &amp; Rabi Paddy, Sweet Corn</t>
  </si>
  <si>
    <t>Vegetable Cowpea, Soybean</t>
  </si>
  <si>
    <t>Coconut, Oil Palm, Banana, Papaya</t>
  </si>
  <si>
    <t>SOIL-11-T4</t>
  </si>
  <si>
    <t>Pokkali / Kharland Rice-Prawn System</t>
  </si>
  <si>
    <t>Dhaincha (Salinity Reclamation)</t>
  </si>
  <si>
    <t>Coir-Coconut-Fodder System</t>
  </si>
  <si>
    <t>Coconut-Arecanut-Banana Coastal Garden</t>
  </si>
  <si>
    <t>SOIL-12-T1</t>
  </si>
  <si>
    <t>Saline &amp; Sodic Soil (Usar / Reh / Kallar / Kharland)</t>
  </si>
  <si>
    <t>Dispersed Clayey/Silty Loam, Poor Permeability, High ESP/ECe</t>
  </si>
  <si>
    <t>8.2 - 9.8</t>
  </si>
  <si>
    <t>Barley, Pearl Millet, Sorghum</t>
  </si>
  <si>
    <t>Chickpea (Karnal Chana), Mustard (CS-52/CS-54), Safflower</t>
  </si>
  <si>
    <t>Desi Cotton, Sugarbeet, Isabgol</t>
  </si>
  <si>
    <t>Ber, Amla, Bael, Date Palm, Karonda</t>
  </si>
  <si>
    <t>SOIL-12-T2</t>
  </si>
  <si>
    <t>Salt-Tolerant Wheat (KRL-210), Salt-Tolerant Rice (CSR-30/CSR-43)</t>
  </si>
  <si>
    <t>Dhaincha, Cluster Bean, Sunflower</t>
  </si>
  <si>
    <t>Bt Cotton, Fennel, Dill (Sowa)</t>
  </si>
  <si>
    <t>Guava, Pomegranate, Spinach, Beetroot, Onion</t>
  </si>
  <si>
    <t>SOIL-12-T3</t>
  </si>
  <si>
    <t>Reclaimed Paddy-Wheat-Dhaincha Rotation</t>
  </si>
  <si>
    <t>Berseem (Fodder Legume)</t>
  </si>
  <si>
    <t>Sugarcane (Salt-Tolerant Co-0238)</t>
  </si>
  <si>
    <t>Banana (Gypsum-Reclaimed), Sapota</t>
  </si>
  <si>
    <t>SOIL-12-T4</t>
  </si>
  <si>
    <t>Waterlogged Saline Reclamation Paddy-Aquaculture</t>
  </si>
  <si>
    <t>Sesbania aculeata (Dhaincha)</t>
  </si>
  <si>
    <t>Para Grass / Karnal Grass Fodder</t>
  </si>
  <si>
    <t>Salt-Tolerant Agroforestry (Casuarina/Prosopis)</t>
  </si>
  <si>
    <t>SOIL-13-T1</t>
  </si>
  <si>
    <t>Calcareous Alluvial &amp; Sierozem Soil (Bhat / Hadoti)</t>
  </si>
  <si>
    <t>Silt Loam with 10-30% Free CaCO3, Zn &amp; Fe Deficiency Prone</t>
  </si>
  <si>
    <t>7.6 - 8.5</t>
  </si>
  <si>
    <t>SOIL-13-T2</t>
  </si>
  <si>
    <t>SOIL-13-T3</t>
  </si>
  <si>
    <t>SOIL-13-T4</t>
  </si>
  <si>
    <t>SOIL-14-T1</t>
  </si>
  <si>
    <t>Sub-Montane &amp; Mountain Brown Forest Soil</t>
  </si>
  <si>
    <t>Humic Silt Loam to Gravelly Loam, Acidic to Neutral, Steep Slopes</t>
  </si>
  <si>
    <t>5.2 - 6.8</t>
  </si>
  <si>
    <t>Finger Millet (Mandua), Barnyard Millet (Jhangora), Amaranthus, Buckwheat</t>
  </si>
  <si>
    <t>Black Soybean (Bhatt), Kidney Bean (Rajmash), Horse Gram, Lentil</t>
  </si>
  <si>
    <t>Mustard (Toria), Perilla</t>
  </si>
  <si>
    <t>Apricot, Walnut, Wild Pomegranate, Peach</t>
  </si>
  <si>
    <t>SOIL-14-T2</t>
  </si>
  <si>
    <t>Hill Maize, Wheat, Barley, Upland Paddy</t>
  </si>
  <si>
    <t>Field Pea, French Bean, Soybean</t>
  </si>
  <si>
    <t>Ginger, Large Cardamom, Turmeric</t>
  </si>
  <si>
    <t>Apple, Pear, Plum, Off-Season Cabbage, Cauliflower, Potato</t>
  </si>
  <si>
    <t>Gravity Kuhl / Naula Channels + Micro-Sprinkler</t>
  </si>
  <si>
    <t>SOIL-14-T3</t>
  </si>
  <si>
    <t>Valley Irrigated Paddy (Basmati/Red Rice)</t>
  </si>
  <si>
    <t>Irrigated Vegetable Pea, Rajmash</t>
  </si>
  <si>
    <t>Large Cardamom, Tea (Darjeeling/Kangra)</t>
  </si>
  <si>
    <t>High-Density Apple, Kiwi, Cherry, Strawberry, Bell Pepper</t>
  </si>
  <si>
    <t>SOIL-14-T4</t>
  </si>
  <si>
    <t>Terraced Wet Paddy-Fish System (Apatani Model)</t>
  </si>
  <si>
    <t>White Clover / Azolla</t>
  </si>
  <si>
    <t>High-Rainfall Tea &amp; Ginger</t>
  </si>
  <si>
    <t>Mandarin Orange, Pineapple, Orchid Floriculture</t>
  </si>
  <si>
    <t>SOIL-15-T1</t>
  </si>
  <si>
    <t>Peaty, Marshy &amp; Acid Sulphate Wetland Soil (Kari / Tal)</t>
  </si>
  <si>
    <t>Heavy Organic Clay (&gt;10% OC), Submerged Hydromorphic, Acidic</t>
  </si>
  <si>
    <t>4.2 - 5.8</t>
  </si>
  <si>
    <t>SOIL-15-T2</t>
  </si>
  <si>
    <t>SOIL-15-T3</t>
  </si>
  <si>
    <t>SOIL-15-T4</t>
  </si>
  <si>
    <t>Record_ID</t>
  </si>
  <si>
    <t>Soil_Texture_Class</t>
  </si>
  <si>
    <t>Soil_pH_Optimum</t>
  </si>
  <si>
    <t>Water_Need_Tier</t>
  </si>
  <si>
    <t>Suggested_Crop_Name</t>
  </si>
  <si>
    <t>Botanical_Name</t>
  </si>
  <si>
    <t>Crop_Category</t>
  </si>
  <si>
    <t>Recommended_Season</t>
  </si>
  <si>
    <t>Crop_Duration_Days</t>
  </si>
  <si>
    <t>Seasonal_Crop_Water_Need_ETc_mm</t>
  </si>
  <si>
    <t>Daily_Peak_ETc_mm_day</t>
  </si>
  <si>
    <t>Critical_Moisture_Sensitive_Stages</t>
  </si>
  <si>
    <t>Number_of_Irrigations_Required</t>
  </si>
  <si>
    <t>Min_Zone_Rainfall_Threshold_mm</t>
  </si>
  <si>
    <t>Max_Safe_Borewell_Depth_mbgl</t>
  </si>
  <si>
    <t>Expected_Yield_q_ha</t>
  </si>
  <si>
    <t>Water_Productivity_kg_m3</t>
  </si>
  <si>
    <t>Recommended_Irrigation_Method</t>
  </si>
  <si>
    <t>Baseline_NPK_RDF_kg_ha</t>
  </si>
  <si>
    <t>SWC-001</t>
  </si>
  <si>
    <t>Heavy Clay (50-70% Clay)</t>
  </si>
  <si>
    <t>Pearl Millet (Bajra)</t>
  </si>
  <si>
    <t>Pennisetum glaucum</t>
  </si>
  <si>
    <t>Millet</t>
  </si>
  <si>
    <t>Kharif</t>
  </si>
  <si>
    <t>Panicle Initiation &amp; Flowering</t>
  </si>
  <si>
    <t>Rainfed / Lifesaving Sprinkler</t>
  </si>
  <si>
    <t>80:40:30</t>
  </si>
  <si>
    <t>SRC-ICAR-IIWM-FAO56</t>
  </si>
  <si>
    <t>SWC-002</t>
  </si>
  <si>
    <t>Bengal Gram (Chickpea)</t>
  </si>
  <si>
    <t>Cicer arietinum</t>
  </si>
  <si>
    <t>Pulse</t>
  </si>
  <si>
    <t>Rabi</t>
  </si>
  <si>
    <t>Pre-Flowering &amp; Pod Development</t>
  </si>
  <si>
    <t>Mini-Sprinkler / Surge Furrow</t>
  </si>
  <si>
    <t>20:40:20</t>
  </si>
  <si>
    <t>SWC-003</t>
  </si>
  <si>
    <t>Foxtail Millet (Korralu)</t>
  </si>
  <si>
    <t>Setaria italica</t>
  </si>
  <si>
    <t>Booting &amp; Heading Stage</t>
  </si>
  <si>
    <t>Rainfed Conservation Furrow</t>
  </si>
  <si>
    <t>40:20:20</t>
  </si>
  <si>
    <t>SWC-004</t>
  </si>
  <si>
    <t>Mustard / Rapeseed</t>
  </si>
  <si>
    <t>Brassica juncea</t>
  </si>
  <si>
    <t>Oilseed</t>
  </si>
  <si>
    <t>Rosette (30 DAS) &amp; Siliqua Filling</t>
  </si>
  <si>
    <t>Sprinkler / Check-Basin</t>
  </si>
  <si>
    <t>80:40:40</t>
  </si>
  <si>
    <t>SWC-005</t>
  </si>
  <si>
    <t>Maize (Hybrid Grain)</t>
  </si>
  <si>
    <t>Zea mays</t>
  </si>
  <si>
    <t>Cereal</t>
  </si>
  <si>
    <t>Kharif / Rabi</t>
  </si>
  <si>
    <t>Knee-High, Tasseling &amp; Silking</t>
  </si>
  <si>
    <t>Paired-Row Drip / Ridge-Furrow</t>
  </si>
  <si>
    <t>120:60:50</t>
  </si>
  <si>
    <t>SWC-006</t>
  </si>
  <si>
    <t>Groundnut (Peanut)</t>
  </si>
  <si>
    <t>Arachis hypogaea</t>
  </si>
  <si>
    <t>Flowering, Pegging &amp; Pod Formation</t>
  </si>
  <si>
    <t>Sprinkler / Mobile Rain-Gun</t>
  </si>
  <si>
    <t>20:40:50</t>
  </si>
  <si>
    <t>SWC-007</t>
  </si>
  <si>
    <t>Red Gram (Pigeonpea / Tur)</t>
  </si>
  <si>
    <t>Cajanus cajan</t>
  </si>
  <si>
    <t>Branching, Flowering &amp; Pod Filling</t>
  </si>
  <si>
    <t>Drip / Alternate Furrow</t>
  </si>
  <si>
    <t>20:50:20</t>
  </si>
  <si>
    <t>SWC-008</t>
  </si>
  <si>
    <t>Wheat (Timely Sown)</t>
  </si>
  <si>
    <t>Triticum aestivum</t>
  </si>
  <si>
    <t>CRI (21 DAS), Booting &amp; Milk Stage</t>
  </si>
  <si>
    <t>Sprinkler / Zero-Till Border Strip</t>
  </si>
  <si>
    <t>120:60:40</t>
  </si>
  <si>
    <t>SWC-009</t>
  </si>
  <si>
    <t>Rice (Paddy - SRI / AWD)</t>
  </si>
  <si>
    <t>Oryza sativa</t>
  </si>
  <si>
    <t>Active Tillering, Panicle Initiation &amp; Flowering</t>
  </si>
  <si>
    <t>Alternate Wetting &amp; Drying (AWD)</t>
  </si>
  <si>
    <t>SWC-010</t>
  </si>
  <si>
    <t>Cotton (Bt Hybrid)</t>
  </si>
  <si>
    <t>Gossypium hirsutum</t>
  </si>
  <si>
    <t>Commercial</t>
  </si>
  <si>
    <t>Square Formation, Flowering &amp; Boll Development</t>
  </si>
  <si>
    <t>Inline Drip Fertigation</t>
  </si>
  <si>
    <t>150:75:75</t>
  </si>
  <si>
    <t>SWC-011</t>
  </si>
  <si>
    <t>Chilli (Guntur Hybrid)</t>
  </si>
  <si>
    <t>Capsicum annuum</t>
  </si>
  <si>
    <t>Spice</t>
  </si>
  <si>
    <t>Flower Initiation &amp; Fruit Setting Pickings</t>
  </si>
  <si>
    <t>Drip with Silver-Black Plastic Mulch</t>
  </si>
  <si>
    <t>150:60:50</t>
  </si>
  <si>
    <t>SWC-012</t>
  </si>
  <si>
    <t>Turmeric (Curcuma)</t>
  </si>
  <si>
    <t>Curcuma longa</t>
  </si>
  <si>
    <t>Kharif-Rabi</t>
  </si>
  <si>
    <t>Rhizome Initiation &amp; Bulking Stage</t>
  </si>
  <si>
    <t>Raised-Bed Drip / Micro-Sprinkler</t>
  </si>
  <si>
    <t>150:60:150</t>
  </si>
  <si>
    <t>SWC-013</t>
  </si>
  <si>
    <t>Sugarcane (Plant Crop)</t>
  </si>
  <si>
    <t>Saccharum officinarum</t>
  </si>
  <si>
    <t>Annual (12M)</t>
  </si>
  <si>
    <t>Tillering (45-120 DAS) &amp; Grand Growth Phase</t>
  </si>
  <si>
    <t>Sub-Surface Paired-Row Drip Fertigation</t>
  </si>
  <si>
    <t>250:100:120</t>
  </si>
  <si>
    <t>SWC-014</t>
  </si>
  <si>
    <t>Banana (Grand Naine)</t>
  </si>
  <si>
    <t>Musa acuminata</t>
  </si>
  <si>
    <t>Fruit</t>
  </si>
  <si>
    <t>Annual</t>
  </si>
  <si>
    <t>Vegetative Bolting, Shooting &amp; Finger Filling</t>
  </si>
  <si>
    <t>Double-Lateral Inline Drip Fertigation</t>
  </si>
  <si>
    <t>200:50:300</t>
  </si>
  <si>
    <t>SWC-015</t>
  </si>
  <si>
    <t>Double-Cropped Lowland Paddy</t>
  </si>
  <si>
    <t>Kharif + Rabi</t>
  </si>
  <si>
    <t>Transplanting, Panicle Initiation &amp; Heading</t>
  </si>
  <si>
    <t>Canal Conjunctive + AWD Check Basin</t>
  </si>
  <si>
    <t>240:120:80</t>
  </si>
  <si>
    <t>SWC-016</t>
  </si>
  <si>
    <t>Arecanut / Coconut Garden</t>
  </si>
  <si>
    <t>Areca catechu / Cocos nucifera</t>
  </si>
  <si>
    <t>Plantation</t>
  </si>
  <si>
    <t>Perennial</t>
  </si>
  <si>
    <t>Summer Dry Spell &amp; Nut Development</t>
  </si>
  <si>
    <t>Ring-Basin Micro-Jet / Drip</t>
  </si>
  <si>
    <t>100:40:140</t>
  </si>
  <si>
    <t>SWC-017</t>
  </si>
  <si>
    <t>Clay Loam to Silty Clay (35-50% Clay)</t>
  </si>
  <si>
    <t>SWC-018</t>
  </si>
  <si>
    <t>SWC-019</t>
  </si>
  <si>
    <t>SWC-020</t>
  </si>
  <si>
    <t>SWC-021</t>
  </si>
  <si>
    <t>SWC-022</t>
  </si>
  <si>
    <t>SWC-023</t>
  </si>
  <si>
    <t>SWC-024</t>
  </si>
  <si>
    <t>SWC-025</t>
  </si>
  <si>
    <t>SWC-026</t>
  </si>
  <si>
    <t>SWC-027</t>
  </si>
  <si>
    <t>SWC-028</t>
  </si>
  <si>
    <t>SWC-029</t>
  </si>
  <si>
    <t>SWC-030</t>
  </si>
  <si>
    <t>SWC-031</t>
  </si>
  <si>
    <t>SWC-032</t>
  </si>
  <si>
    <t>SWC-033</t>
  </si>
  <si>
    <t>Gravelly Clay Loam</t>
  </si>
  <si>
    <t>SWC-034</t>
  </si>
  <si>
    <t>SWC-035</t>
  </si>
  <si>
    <t>SWC-036</t>
  </si>
  <si>
    <t>SWC-037</t>
  </si>
  <si>
    <t>SWC-038</t>
  </si>
  <si>
    <t>SWC-039</t>
  </si>
  <si>
    <t>SWC-040</t>
  </si>
  <si>
    <t>SWC-041</t>
  </si>
  <si>
    <t>SWC-042</t>
  </si>
  <si>
    <t>SWC-043</t>
  </si>
  <si>
    <t>SWC-044</t>
  </si>
  <si>
    <t>SWC-045</t>
  </si>
  <si>
    <t>SWC-046</t>
  </si>
  <si>
    <t>SWC-047</t>
  </si>
  <si>
    <t>SWC-048</t>
  </si>
  <si>
    <t>SWC-049</t>
  </si>
  <si>
    <t>SWC-050</t>
  </si>
  <si>
    <t>SWC-051</t>
  </si>
  <si>
    <t>SWC-052</t>
  </si>
  <si>
    <t>SWC-053</t>
  </si>
  <si>
    <t>SWC-054</t>
  </si>
  <si>
    <t>SWC-055</t>
  </si>
  <si>
    <t>SWC-056</t>
  </si>
  <si>
    <t>SWC-057</t>
  </si>
  <si>
    <t>SWC-058</t>
  </si>
  <si>
    <t>SWC-059</t>
  </si>
  <si>
    <t>SWC-060</t>
  </si>
  <si>
    <t>SWC-061</t>
  </si>
  <si>
    <t>SWC-062</t>
  </si>
  <si>
    <t>SWC-063</t>
  </si>
  <si>
    <t>SWC-064</t>
  </si>
  <si>
    <t>SWC-065</t>
  </si>
  <si>
    <t>Sandy Clay Loam</t>
  </si>
  <si>
    <t>SWC-066</t>
  </si>
  <si>
    <t>SWC-067</t>
  </si>
  <si>
    <t>SWC-068</t>
  </si>
  <si>
    <t>SWC-069</t>
  </si>
  <si>
    <t>SWC-070</t>
  </si>
  <si>
    <t>SWC-071</t>
  </si>
  <si>
    <t>SWC-072</t>
  </si>
  <si>
    <t>SWC-073</t>
  </si>
  <si>
    <t>SWC-074</t>
  </si>
  <si>
    <t>SWC-075</t>
  </si>
  <si>
    <t>SWC-076</t>
  </si>
  <si>
    <t>SWC-077</t>
  </si>
  <si>
    <t>SWC-078</t>
  </si>
  <si>
    <t>SWC-079</t>
  </si>
  <si>
    <t>SWC-080</t>
  </si>
  <si>
    <t>SWC-081</t>
  </si>
  <si>
    <t>Deep Silt Clay Loam</t>
  </si>
  <si>
    <t>SWC-082</t>
  </si>
  <si>
    <t>SWC-083</t>
  </si>
  <si>
    <t>SWC-084</t>
  </si>
  <si>
    <t>SWC-085</t>
  </si>
  <si>
    <t>SWC-086</t>
  </si>
  <si>
    <t>SWC-087</t>
  </si>
  <si>
    <t>SWC-088</t>
  </si>
  <si>
    <t>SWC-089</t>
  </si>
  <si>
    <t>SWC-090</t>
  </si>
  <si>
    <t>SWC-091</t>
  </si>
  <si>
    <t>SWC-092</t>
  </si>
  <si>
    <t>SWC-093</t>
  </si>
  <si>
    <t>SWC-094</t>
  </si>
  <si>
    <t>SWC-095</t>
  </si>
  <si>
    <t>SWC-096</t>
  </si>
  <si>
    <t>SWC-097</t>
  </si>
  <si>
    <t>Silty Loam to Fine Sandy Loam</t>
  </si>
  <si>
    <t>SWC-098</t>
  </si>
  <si>
    <t>SWC-099</t>
  </si>
  <si>
    <t>SWC-100</t>
  </si>
  <si>
    <t>SWC-101</t>
  </si>
  <si>
    <t>SWC-102</t>
  </si>
  <si>
    <t>SWC-103</t>
  </si>
  <si>
    <t>SWC-104</t>
  </si>
  <si>
    <t>SWC-105</t>
  </si>
  <si>
    <t>SWC-106</t>
  </si>
  <si>
    <t>SWC-107</t>
  </si>
  <si>
    <t>SWC-108</t>
  </si>
  <si>
    <t>SWC-109</t>
  </si>
  <si>
    <t>SWC-110</t>
  </si>
  <si>
    <t>SWC-111</t>
  </si>
  <si>
    <t>SWC-112</t>
  </si>
  <si>
    <t>SWC-113</t>
  </si>
  <si>
    <t>Clay Loam with Kankar (Calcareous Nodules)</t>
  </si>
  <si>
    <t>SWC-114</t>
  </si>
  <si>
    <t>SWC-115</t>
  </si>
  <si>
    <t>SWC-116</t>
  </si>
  <si>
    <t>SWC-117</t>
  </si>
  <si>
    <t>SWC-118</t>
  </si>
  <si>
    <t>SWC-119</t>
  </si>
  <si>
    <t>SWC-120</t>
  </si>
  <si>
    <t>SWC-121</t>
  </si>
  <si>
    <t>SWC-122</t>
  </si>
  <si>
    <t>SWC-123</t>
  </si>
  <si>
    <t>SWC-124</t>
  </si>
  <si>
    <t>SWC-125</t>
  </si>
  <si>
    <t>SWC-126</t>
  </si>
  <si>
    <t>SWC-127</t>
  </si>
  <si>
    <t>SWC-128</t>
  </si>
  <si>
    <t>SWC-129</t>
  </si>
  <si>
    <t>Acidic Gravelly Porous Clay Loam</t>
  </si>
  <si>
    <t>SWC-130</t>
  </si>
  <si>
    <t>SWC-131</t>
  </si>
  <si>
    <t>SWC-132</t>
  </si>
  <si>
    <t>SWC-133</t>
  </si>
  <si>
    <t>SWC-134</t>
  </si>
  <si>
    <t>SWC-135</t>
  </si>
  <si>
    <t>SWC-136</t>
  </si>
  <si>
    <t>SWC-137</t>
  </si>
  <si>
    <t>SWC-138</t>
  </si>
  <si>
    <t>SWC-139</t>
  </si>
  <si>
    <t>SWC-140</t>
  </si>
  <si>
    <t>SWC-141</t>
  </si>
  <si>
    <t>SWC-142</t>
  </si>
  <si>
    <t>SWC-143</t>
  </si>
  <si>
    <t>SWC-144</t>
  </si>
  <si>
    <t>SWC-145</t>
  </si>
  <si>
    <t>Coarse Windblown Sand (85-95% Sand)</t>
  </si>
  <si>
    <t>SWC-146</t>
  </si>
  <si>
    <t>Moth Bean / Cluster Bean (Guar)</t>
  </si>
  <si>
    <t>Vigna aconitifolia / Cyamopsis</t>
  </si>
  <si>
    <t>SWC-147</t>
  </si>
  <si>
    <t>SWC-148</t>
  </si>
  <si>
    <t>SWC-149</t>
  </si>
  <si>
    <t>SWC-150</t>
  </si>
  <si>
    <t>SWC-151</t>
  </si>
  <si>
    <t>SWC-152</t>
  </si>
  <si>
    <t>SWC-153</t>
  </si>
  <si>
    <t>SWC-154</t>
  </si>
  <si>
    <t>SWC-155</t>
  </si>
  <si>
    <t>SWC-156</t>
  </si>
  <si>
    <t>SWC-157</t>
  </si>
  <si>
    <t>SWC-158</t>
  </si>
  <si>
    <t>SWC-159</t>
  </si>
  <si>
    <t>SWC-160</t>
  </si>
  <si>
    <t>SWC-161</t>
  </si>
  <si>
    <t>Coarse Sand to Sandy Loam</t>
  </si>
  <si>
    <t>SWC-162</t>
  </si>
  <si>
    <t>SWC-163</t>
  </si>
  <si>
    <t>SWC-164</t>
  </si>
  <si>
    <t>SWC-165</t>
  </si>
  <si>
    <t>SWC-166</t>
  </si>
  <si>
    <t>SWC-167</t>
  </si>
  <si>
    <t>SWC-168</t>
  </si>
  <si>
    <t>SWC-169</t>
  </si>
  <si>
    <t>SWC-170</t>
  </si>
  <si>
    <t>SWC-171</t>
  </si>
  <si>
    <t>SWC-172</t>
  </si>
  <si>
    <t>SWC-173</t>
  </si>
  <si>
    <t>SWC-174</t>
  </si>
  <si>
    <t>SWC-175</t>
  </si>
  <si>
    <t>SWC-176</t>
  </si>
  <si>
    <t>SWC-177</t>
  </si>
  <si>
    <t>Dispersed Clayey/Silty Loam</t>
  </si>
  <si>
    <t>SWC-178</t>
  </si>
  <si>
    <t>SWC-179</t>
  </si>
  <si>
    <t>SWC-180</t>
  </si>
  <si>
    <t>Mustard / Rapeseed (Salt-Tolerant Variety)</t>
  </si>
  <si>
    <t>SWC-181</t>
  </si>
  <si>
    <t>SWC-182</t>
  </si>
  <si>
    <t>SWC-183</t>
  </si>
  <si>
    <t>SWC-184</t>
  </si>
  <si>
    <t>Wheat (Timely Sown) (Salt-Tolerant Variety)</t>
  </si>
  <si>
    <t>SWC-185</t>
  </si>
  <si>
    <t>Rice (Paddy - SRI / AWD) (Salt-Tolerant Variety)</t>
  </si>
  <si>
    <t>SWC-186</t>
  </si>
  <si>
    <t>SWC-187</t>
  </si>
  <si>
    <t>SWC-188</t>
  </si>
  <si>
    <t>SWC-189</t>
  </si>
  <si>
    <t>SWC-190</t>
  </si>
  <si>
    <t>SWC-191</t>
  </si>
  <si>
    <t>SWC-192</t>
  </si>
  <si>
    <t>SWC-193</t>
  </si>
  <si>
    <t>Silt Loam with 10-30% Free CaCO3</t>
  </si>
  <si>
    <t>SWC-194</t>
  </si>
  <si>
    <t>SWC-195</t>
  </si>
  <si>
    <t>SWC-196</t>
  </si>
  <si>
    <t>SWC-197</t>
  </si>
  <si>
    <t>SWC-198</t>
  </si>
  <si>
    <t>SWC-199</t>
  </si>
  <si>
    <t>SWC-200</t>
  </si>
  <si>
    <t>SWC-201</t>
  </si>
  <si>
    <t>SWC-202</t>
  </si>
  <si>
    <t>SWC-203</t>
  </si>
  <si>
    <t>SWC-204</t>
  </si>
  <si>
    <t>SWC-205</t>
  </si>
  <si>
    <t>SWC-206</t>
  </si>
  <si>
    <t>SWC-207</t>
  </si>
  <si>
    <t>SWC-208</t>
  </si>
  <si>
    <t>SWC-209</t>
  </si>
  <si>
    <t>Humic Silt Loam to Gravelly Loam</t>
  </si>
  <si>
    <t>SWC-210</t>
  </si>
  <si>
    <t>SWC-211</t>
  </si>
  <si>
    <t>SWC-212</t>
  </si>
  <si>
    <t>SWC-213</t>
  </si>
  <si>
    <t>SWC-214</t>
  </si>
  <si>
    <t>SWC-215</t>
  </si>
  <si>
    <t>SWC-216</t>
  </si>
  <si>
    <t>SWC-217</t>
  </si>
  <si>
    <t>SWC-218</t>
  </si>
  <si>
    <t>SWC-219</t>
  </si>
  <si>
    <t>SWC-220</t>
  </si>
  <si>
    <t>SWC-221</t>
  </si>
  <si>
    <t>SWC-222</t>
  </si>
  <si>
    <t>SWC-223</t>
  </si>
  <si>
    <t>SWC-224</t>
  </si>
  <si>
    <t>SWC-225</t>
  </si>
  <si>
    <t>Heavy Organic Clay (&gt;10% OC)</t>
  </si>
  <si>
    <t>SWC-226</t>
  </si>
  <si>
    <t>SWC-227</t>
  </si>
  <si>
    <t>SWC-228</t>
  </si>
  <si>
    <t>SWC-229</t>
  </si>
  <si>
    <t>SWC-230</t>
  </si>
  <si>
    <t>SWC-231</t>
  </si>
  <si>
    <t>SWC-232</t>
  </si>
  <si>
    <t>SWC-233</t>
  </si>
  <si>
    <t>SWC-234</t>
  </si>
  <si>
    <t>SWC-235</t>
  </si>
  <si>
    <t>SWC-236</t>
  </si>
  <si>
    <t>SWC-237</t>
  </si>
  <si>
    <t>SWC-238</t>
  </si>
  <si>
    <t>SWC-239</t>
  </si>
  <si>
    <t>SWC-240</t>
  </si>
  <si>
    <t>Source_Category</t>
  </si>
  <si>
    <t>Authoring_Institution</t>
  </si>
  <si>
    <t>Document_or_Survey_Report_Title</t>
  </si>
  <si>
    <t>Department_or_Ministry</t>
  </si>
  <si>
    <t>Publication_Year</t>
  </si>
  <si>
    <t>Direct_Verified_URL</t>
  </si>
  <si>
    <t>Page_Table_Map_Reference</t>
  </si>
  <si>
    <t>Geographic_Coverage</t>
  </si>
  <si>
    <t>Parameters_Extracted</t>
  </si>
  <si>
    <t>Temporal_Coverage</t>
  </si>
  <si>
    <t>Methodology_Standard</t>
  </si>
  <si>
    <t>Verification_Status</t>
  </si>
  <si>
    <t>Last_Checked_Date</t>
  </si>
  <si>
    <t>SRC-IMD-MON2025</t>
  </si>
  <si>
    <t>Meteorological Survey Report</t>
  </si>
  <si>
    <t>India Meteorological Department (IMD)</t>
  </si>
  <si>
    <t>Monsoon 2025: A Report &amp; Sub-Division Wise Rainfall Statistics</t>
  </si>
  <si>
    <t>Ministry of Earth Sciences, Govt. of India</t>
  </si>
  <si>
    <t>https://mausam.imd.gov.in/imd_latest/monsoon_report_2025_2.pdf</t>
  </si>
  <si>
    <t>Table 3.1, Pages 18-45 (36 Sub-divisions)</t>
  </si>
  <si>
    <t>All-India (36 Met Sub-divisions &amp; 700+ Districts)</t>
  </si>
  <si>
    <t>SW Monsoon &amp; Annual Rainfall (937.2 mm in 2025; 868.6 mm LPA)</t>
  </si>
  <si>
    <t>2011 - 2025 (15-Year Series)</t>
  </si>
  <si>
    <t>IMD Rain Gauge Network &amp; Gridded 0.25x0.25 Deg Dataset</t>
  </si>
  <si>
    <t>Verified Official Survey</t>
  </si>
  <si>
    <t>2026-10-24</t>
  </si>
  <si>
    <t>SRC-IMD-SWD-NORM</t>
  </si>
  <si>
    <t>Climatological Normal Database</t>
  </si>
  <si>
    <t>District &amp; Sub-Divisional Normal Rainfall Maps and Long Period Averages (1971-2020)</t>
  </si>
  <si>
    <t>Office of Director General of Meteorology, Pune</t>
  </si>
  <si>
    <t>https://mausam.imd.gov.in/responsive/rainfallinformation_swd.php</t>
  </si>
  <si>
    <t>State &amp; Sub-divisional Normal Tables</t>
  </si>
  <si>
    <t>Pan-India District &amp; Sub-division Level</t>
  </si>
  <si>
    <t>LPA Normals, Seasonal Share (SW, NE, Winter, Pre-Monsoon), Onset/Withdrawal</t>
  </si>
  <si>
    <t>1971 - 2020 LPA Baseline</t>
  </si>
  <si>
    <t>WMO Standard 50-Year Climatological Normal</t>
  </si>
  <si>
    <t>SRC-CGWB-GWRA2025</t>
  </si>
  <si>
    <t>Hydrogeological Assessment Report</t>
  </si>
  <si>
    <t>Central Ground Water Board (CGWB)</t>
  </si>
  <si>
    <t>National Compilation on Dynamic Ground Water Resources of India, 2025</t>
  </si>
  <si>
    <t>Department of Water Resources, RD &amp; GR, Ministry of Jal Shakti</t>
  </si>
  <si>
    <t>https://cgwb.gov.in/GWRA/GWRA_2025.pdf</t>
  </si>
  <si>
    <t>Executive Summary &amp; State Annexures (Pages ii, 24-180)</t>
  </si>
  <si>
    <t>All-India (6,762 Assessment Units / Blocks / Mandals)</t>
  </si>
  <si>
    <t>Annual Recharge (448.68 BCM), Extractable GW (407.88 BCM), Draft (247.18 BCM), Stage (60.6%)</t>
  </si>
  <si>
    <t>Assessment Year 2024-2025</t>
  </si>
  <si>
    <t>GEC-2015 (Ground Water Resource Estimation Committee) Methodology</t>
  </si>
  <si>
    <t>SRC-CGWB-GWYB</t>
  </si>
  <si>
    <t>Groundwater Monitoring Bulletin</t>
  </si>
  <si>
    <t>Ground Water Year Book &amp; Pre/Post-Monsoon Water Level Bulletins</t>
  </si>
  <si>
    <t>Ministry of Jal Shakti, Govt. of India</t>
  </si>
  <si>
    <t>https://cgwb.gov.in/cgwbpnm/public/uploads/documents/17357169591419696804file.pdf</t>
  </si>
  <si>
    <t>Pre-Monsoon (May) &amp; Post-Monsoon (Nov) Depth to Water Level Maps</t>
  </si>
  <si>
    <t>25,000+ National Hydrograph Network Stations (NHS)</t>
  </si>
  <si>
    <t>Pre-Monsoon Depth (mbgl), Post-Monsoon Depth (mbgl), Seasonal Fluctuation (m), Specific Yield</t>
  </si>
  <si>
    <t>2011 - 2025 Seasonal Series</t>
  </si>
  <si>
    <t>Piezometer &amp; Digital Water Level Recorder (DWLR) Telemetry</t>
  </si>
  <si>
    <t>SRC-ICAR-NARP127</t>
  </si>
  <si>
    <t>Agro-Climatic Zoning Survey</t>
  </si>
  <si>
    <t>Indian Council of Agricultural Research (ICAR)</t>
  </si>
  <si>
    <t>National Agricultural Research Project (NARP): 127 Agro-Climatic Zones of India</t>
  </si>
  <si>
    <t>DARE &amp; ICAR, Ministry of Agriculture &amp; Farmers Welfare</t>
  </si>
  <si>
    <t>https://icar.org.in/sites/default/files/2022-06/ICAR-Global-Reach_21.08.2020.pdf</t>
  </si>
  <si>
    <t>NARP Zonal Delineation &amp; Cropping Pattern Compendium</t>
  </si>
  <si>
    <t>127 NARP Zones across all Indian States &amp; UTs</t>
  </si>
  <si>
    <t>Zonal Boundaries, Dominant Soils, Rainfall Regimes &amp; Recommended Cropping Systems</t>
  </si>
  <si>
    <t>Multi-Decadal Zonal Baseline</t>
  </si>
  <si>
    <t>Physiography, Soil, Climate &amp; Cropping Pattern Stratification</t>
  </si>
  <si>
    <t>SRC-ICAR-NBSS-LUP</t>
  </si>
  <si>
    <t>Soil Survey &amp; Ecological Atlas</t>
  </si>
  <si>
    <t>ICAR - National Bureau of Soil Survey &amp; Land Use Planning</t>
  </si>
  <si>
    <t>Agro-Ecological Regions (20 AERs &amp; 60 AESRs) and Soils of India</t>
  </si>
  <si>
    <t>ICAR-NBSS&amp;LUP, Nagpur</t>
  </si>
  <si>
    <t>https://epgp.inflibnet.ac.in/epgpdata/uploads/epgp_content/S000017GE/P001789/M025466/ET/1512709815Agro-climaticzones_e-text.pdf</t>
  </si>
  <si>
    <t>Tables 1-4: 15 ACZs, 20 AERs &amp; Soil Order Taxonomy</t>
  </si>
  <si>
    <t>Pan-India Soil Orders (Vertisols, Alfisols, Inceptisols, Entisols, Ultisols, Aridisols)</t>
  </si>
  <si>
    <t>Soil Texture, Available Water Capacity (AWC mm/m), Length of Growing Period (LGP)</t>
  </si>
  <si>
    <t>National Soil Survey Baseline</t>
  </si>
  <si>
    <t>USDA Soil Taxonomy &amp; FAO Length of Growing Period</t>
  </si>
  <si>
    <t>SRC-ICAR-CRIDA</t>
  </si>
  <si>
    <t>Climate Resilient Agriculture Compendium</t>
  </si>
  <si>
    <t>ICAR - Central Research Institute for Dryland Agriculture (CRIDA)</t>
  </si>
  <si>
    <t>State-Wise Promising Climate Resilient Technologies &amp; District Contingency Plans</t>
  </si>
  <si>
    <t>ICAR-CRIDA, Hyderabad</t>
  </si>
  <si>
    <t>https://www.icar-crida.res.in/assets_c/img/Books/statewise_prommising_climate_%20resilient_technologies_reports_13%20states&amp;1UT/PCRT_Madya_Pradesh.pdf</t>
  </si>
  <si>
    <t>Zonal Contingency Crop Plans &amp; Rainwater Harvesting</t>
  </si>
  <si>
    <t>Dryland &amp; Rainfed Agro-Ecological Sub-Regions</t>
  </si>
  <si>
    <t>Drought-Tolerant Varieties, Lifesaving Irrigation, BBF &amp; Conservation Furrows</t>
  </si>
  <si>
    <t>2011 - 2024 Field Trials</t>
  </si>
  <si>
    <t>AICRPDA &amp; NICRA Multi-Location Agronomic Trials</t>
  </si>
  <si>
    <t>SRC-FAO56-CWR</t>
  </si>
  <si>
    <t>International Irrigation Standard</t>
  </si>
  <si>
    <t>Food and Agriculture Organization (FAO)</t>
  </si>
  <si>
    <t>Crop Evapotranspiration &amp; Irrigation Water Management: Crop Water Needs</t>
  </si>
  <si>
    <t>FAO Land and Water Development Division, Rome</t>
  </si>
  <si>
    <t>https://www.fao.org/4/s2022e/s2022e02.htm</t>
  </si>
  <si>
    <t>Chapter 2 &amp; Table 2.1: Crop Water Needs (mm/growing period)</t>
  </si>
  <si>
    <t>Global &amp; Tropical/Sub-Tropical Reference</t>
  </si>
  <si>
    <t>Seasonal ETc (mm), Crop Coefficients (Kc_ini, Kc_mid, Kc_end), Depletion Fractions</t>
  </si>
  <si>
    <t>Standard Reference</t>
  </si>
  <si>
    <t>FAO Penman-Monteith &amp; CROPWAT 8.0 Model</t>
  </si>
  <si>
    <t>SRC-JAM-ETc-GUJ</t>
  </si>
  <si>
    <t>Agrometeorological Research Study</t>
  </si>
  <si>
    <t>Association of Agrometeorologists</t>
  </si>
  <si>
    <t>Crop Water Requirement (ETc) of Different Crops across Agro-Climatic Zones</t>
  </si>
  <si>
    <t>Journal of Agrometeorology, Vol. 18</t>
  </si>
  <si>
    <t>https://journal.agrimetassociation.org/index.php/jam/article/view/906</t>
  </si>
  <si>
    <t>Tables 1-3: ETc of Rice, Wheat, Maize, Pearl Millet, Pulses, Cotton</t>
  </si>
  <si>
    <t>Western &amp; Central India Command Areas</t>
  </si>
  <si>
    <t>Stage-wise Kc and Seasonal ETc (mm) for Cereals, Pulses, Oilseeds &amp; Cash Crops</t>
  </si>
  <si>
    <t>30-Year Climatic Normals</t>
  </si>
  <si>
    <t>Penman-Monteith Reference Evapotranspiration (ET0)</t>
  </si>
  <si>
    <t>Verified Research Paper</t>
  </si>
  <si>
    <t>SRC-IJPSS-AP-CWR</t>
  </si>
  <si>
    <t>Command Area Water Balance Study</t>
  </si>
  <si>
    <t>International Journal of Plant &amp; Soil Science</t>
  </si>
  <si>
    <t>Assessment of Available Water and Crop Water Requirements in Nagarjuna Sagar Right Canal Command (AP)</t>
  </si>
  <si>
    <t>IJPSS, Vol. 35, Issue 2</t>
  </si>
  <si>
    <t>https://journalijpss.com/index.php/IJPSS/article/view/2764</t>
  </si>
  <si>
    <t>Pages 12-20: Paddy, Cotton, Chilli, Millet &amp; Pulse Water Budgets</t>
  </si>
  <si>
    <t>Andhra Pradesh (Guntur, Palnadu, Prakasam)</t>
  </si>
  <si>
    <t>CROPWAT-derived Net Irrigation Requirement (NIR) &amp; Effective Rainfall for AP Crops</t>
  </si>
  <si>
    <t>2010 - 2022 Command Data</t>
  </si>
  <si>
    <t>FAO CROPWAT &amp; USDA Soil Conservation Service Effective Rainfall</t>
  </si>
  <si>
    <t>SRC-ANGRAU-VP</t>
  </si>
  <si>
    <t>State Agricultural University Guide</t>
  </si>
  <si>
    <t>Acharya N.G. Ranga Agricultural University (ANGRAU)</t>
  </si>
  <si>
    <t>Vyavasaya Panchangam &amp; Zone-Wise Crop Production Guide for Andhra Pradesh</t>
  </si>
  <si>
    <t>ANGRAU Directorate of Extension, Lam, Guntur</t>
  </si>
  <si>
    <t>https://angrau.ac.in/</t>
  </si>
  <si>
    <t>Chapters 1-6: 6 Agro-Climatic Zones of AP, Soil-Crop Suitability &amp; RDF</t>
  </si>
  <si>
    <t>Andhra Pradesh (North Coastal, Godavari, Krishna, Southern, Scarce Rainfall, High Altitude)</t>
  </si>
  <si>
    <t>Soil-Specific Crop Varieties, Water Management, Critical Irrigation Stages &amp; NPK Doses</t>
  </si>
  <si>
    <t>2024-2025 Cropping Year</t>
  </si>
  <si>
    <t>State University Research &amp; Extension Trials</t>
  </si>
  <si>
    <t>Verified Official Guide</t>
  </si>
  <si>
    <t>SRC-DATAFUL-IMD</t>
  </si>
  <si>
    <t>Historical Rainfall Time Series</t>
  </si>
  <si>
    <t>India Meteorological Department / Dataful</t>
  </si>
  <si>
    <t>Year, Month and IMD Sub-Division Wise Actual Rainfall Data Since 1901</t>
  </si>
  <si>
    <t>IMD / Open Government Data Platform India</t>
  </si>
  <si>
    <t>https://dataful.in/datasets/21444/</t>
  </si>
  <si>
    <t>Sub-Division Monthly &amp; Annual Rainfall Time Series</t>
  </si>
  <si>
    <t>36 IMD Sub-Divisions across India</t>
  </si>
  <si>
    <t>Historical Annual &amp; Seasonal Rainfall (mm) and Departure from Normal (%)</t>
  </si>
  <si>
    <t>1901 - 2025 Longitudinal Series</t>
  </si>
  <si>
    <t>IMD Quality-Controlled Rain Gauge Archive</t>
  </si>
  <si>
    <t>Verified Public Dataset</t>
  </si>
</sst>
</file>

<file path=xl/styles.xml><?xml version="1.0" encoding="utf-8"?>
<styleSheet xmlns="http://schemas.openxmlformats.org/spreadsheetml/2006/main">
  <numFmts count="5">
    <numFmt numFmtId="0" formatCode="General"/>
    <numFmt numFmtId="3" formatCode="#,##0"/>
    <numFmt numFmtId="164" formatCode="#,##0.0"/>
    <numFmt numFmtId="2" formatCode="0.00"/>
    <numFmt numFmtId="165" formatCode="0.0"/>
  </numFmts>
  <fonts count="3">
    <font>
      <name val="Calibri"/>
      <sz val="11"/>
    </font>
    <font>
      <name val="Calibri"/>
      <b/>
      <charset val="1"/>
      <sz val="10"/>
      <color rgb="FFFFFFFF"/>
    </font>
    <font>
      <name val="Calibri"/>
      <charset val="1"/>
      <sz val="10"/>
      <color rgb="FF1E293B"/>
    </font>
  </fonts>
  <fills count="4">
    <fill>
      <patternFill patternType="none"/>
    </fill>
    <fill>
      <patternFill patternType="gray125"/>
    </fill>
    <fill>
      <patternFill patternType="solid">
        <fgColor rgb="FF1B4965"/>
        <bgColor rgb="FF333399"/>
      </patternFill>
    </fill>
    <fill>
      <patternFill patternType="solid">
        <fgColor rgb="FFF4F8FB"/>
        <bgColor rgb="FFFFFFFF"/>
      </patternFill>
    </fill>
  </fills>
  <borders count="2">
    <border>
      <left/>
      <right/>
      <top/>
      <bottom/>
      <diagonal/>
    </border>
    <border>
      <left style="thin">
        <color rgb="FFD8E2DC"/>
      </left>
      <right style="thin">
        <color rgb="FFD8E2DC"/>
      </right>
      <top style="thin">
        <color rgb="FFD8E2DC"/>
      </top>
      <bottom style="thin">
        <color rgb="FFD8E2DC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Border="1" applyAlignment="1">
      <alignment horizontal="center" vertical="center"/>
    </xf>
    <xf numFmtId="0" fontId="2" fillId="3" borderId="1" xfId="0" applyFont="1" applyBorder="1" applyAlignment="1">
      <alignment horizontal="center" vertical="center"/>
    </xf>
    <xf numFmtId="0" fontId="2" fillId="3" borderId="1" xfId="0" applyFont="1" applyBorder="1" applyAlignment="1">
      <alignment horizontal="left" vertical="center"/>
    </xf>
    <xf numFmtId="3" fontId="2" fillId="3" borderId="1" xfId="0" applyFont="1" applyBorder="1" applyAlignment="1">
      <alignment horizontal="right" vertical="center"/>
    </xf>
    <xf numFmtId="164" fontId="2" fillId="3" borderId="1" xfId="0" applyFont="1" applyBorder="1" applyAlignment="1">
      <alignment horizontal="right" vertical="center"/>
    </xf>
    <xf numFmtId="2" fontId="2" fillId="3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Font="1" applyBorder="1" applyAlignment="1">
      <alignment horizontal="right" vertical="center"/>
    </xf>
    <xf numFmtId="164" fontId="2" fillId="0" borderId="1" xfId="0" applyFont="1" applyBorder="1" applyAlignment="1">
      <alignment horizontal="right" vertical="center"/>
    </xf>
    <xf numFmtId="2" fontId="2" fillId="0" borderId="1" xfId="0" applyFont="1" applyBorder="1" applyAlignment="1">
      <alignment horizontal="right" vertical="center"/>
    </xf>
    <xf numFmtId="165" fontId="2" fillId="3" borderId="1" xfId="0" applyFont="1" applyBorder="1" applyAlignment="1">
      <alignment horizontal="right" vertical="center"/>
    </xf>
    <xf numFmtId="165" fontId="2" fillId="0" borderId="1" xfId="0" applyFont="1" applyBorder="1" applyAlignment="1">
      <alignment horizontal="right" vertical="center"/>
    </xf>
  </cellXfs>
  <cellStyles count="1">
    <cellStyle name="常规" xfId="0" builtinId="0"/>
  </cellStyles>
  <dxf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4F8FB"/>
      <rgbColor rgb="00CCFFFF"/>
      <rgbColor rgb="00660066"/>
      <rgbColor rgb="00FF8080"/>
      <rgbColor rgb="000066CC"/>
      <rgbColor rgb="00D8E2DC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1B4965"/>
      <rgbColor rgb="00339966"/>
      <rgbColor rgb="00003300"/>
      <rgbColor rgb="00333300"/>
      <rgbColor rgb="00993300"/>
      <rgbColor rgb="00993366"/>
      <rgbColor rgb="00333399"/>
      <rgbColor rgb="00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www.wps.cn/officeDocument/2020/cellImage" Target="cellimages.xml"/><Relationship Id="rId8" Type="http://schemas.openxmlformats.org/officeDocument/2006/relationships/sharedStrings" Target="sharedStrings.xml"/><Relationship Id="rId9" Type="http://schemas.openxmlformats.org/officeDocument/2006/relationships/styles" Target="styles.xml"/><Relationship Id="rId1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M151"/>
  <sheetViews>
    <sheetView tabSelected="1" workbookViewId="0">
      <selection activeCell="A1" sqref="A1"/>
    </sheetView>
  </sheetViews>
  <sheetFormatPr defaultRowHeight="15.0" zeroHeight="1"/>
  <cols>
    <col min="1" max="1" customWidth="1" width="12.0" style="0"/>
    <col min="2" max="2" customWidth="1" width="20.0" style="0"/>
    <col min="3" max="3" customWidth="1" width="38.0" style="0"/>
    <col min="4" max="4" customWidth="1" width="35.0" style="0"/>
    <col min="5" max="7" customWidth="1" width="38.0" style="0"/>
    <col min="8" max="8" customWidth="1" width="26.0" style="0"/>
    <col min="9" max="9" customWidth="1" width="16.0" style="0"/>
    <col min="10" max="10" customWidth="1" width="20.0" style="0"/>
    <col min="11" max="11" customWidth="1" width="33.0" style="0"/>
    <col min="12" max="12" customWidth="1" width="38.0" style="0"/>
    <col min="13" max="13" customWidth="1" width="23.0" style="0"/>
    <col min="14" max="14" customWidth="1" width="28.0" style="0"/>
    <col min="15" max="15" customWidth="1" width="20.0" style="0"/>
    <col min="16" max="17" customWidth="1" width="24.0" style="0"/>
    <col min="18" max="18" customWidth="1" width="25.0" style="0"/>
    <col min="19" max="19" customWidth="1" width="31.0" style="0"/>
    <col min="20" max="20" customWidth="1" width="38.0" style="0"/>
    <col min="21" max="21" customWidth="1" width="26.0" style="0"/>
    <col min="22" max="22" customWidth="1" width="27.0" style="0"/>
    <col min="23" max="23" customWidth="1" width="28.0" style="0"/>
    <col min="24" max="24" customWidth="1" width="21.0" style="0"/>
    <col min="25" max="25" customWidth="1" width="28.0" style="0"/>
    <col min="26" max="26" customWidth="1" width="22.0" style="0"/>
    <col min="27" max="27" customWidth="1" width="29.0" style="0"/>
    <col min="28" max="28" customWidth="1" width="25.0" style="0"/>
    <col min="29" max="29" customWidth="1" width="31.0" style="0"/>
    <col min="30" max="30" customWidth="1" width="32.0" style="0"/>
    <col min="31" max="31" customWidth="1" width="38.0" style="0"/>
    <col min="32" max="32" customWidth="1" width="30.0" style="0"/>
    <col min="33" max="33" customWidth="1" width="28.0" style="0"/>
    <col min="34" max="34" customWidth="1" width="30.0" style="0"/>
    <col min="35" max="38" customWidth="1" width="38.0" style="0"/>
  </cols>
  <sheetData>
    <row r="1" spans="8:8" ht="2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8:8" ht="18.75" customHeight="1">
      <c r="A2" s="2" t="s">
        <v>38</v>
      </c>
      <c r="B2" s="3" t="s">
        <v>39</v>
      </c>
      <c r="C2" s="3" t="s">
        <v>40</v>
      </c>
      <c r="D2" s="3" t="s">
        <v>41</v>
      </c>
      <c r="E2" s="3" t="s">
        <v>42</v>
      </c>
      <c r="F2" s="3" t="s">
        <v>43</v>
      </c>
      <c r="G2" s="3" t="s">
        <v>44</v>
      </c>
      <c r="H2" s="3" t="s">
        <v>45</v>
      </c>
      <c r="I2" s="4">
        <v>135.0</v>
      </c>
      <c r="J2" s="4">
        <v>1085.0</v>
      </c>
      <c r="K2" s="5">
        <v>1087.2</v>
      </c>
      <c r="L2" s="3" t="s">
        <v>46</v>
      </c>
      <c r="M2" s="3" t="s">
        <v>47</v>
      </c>
      <c r="N2" s="3" t="s">
        <v>48</v>
      </c>
      <c r="O2" s="4">
        <v>67.0</v>
      </c>
      <c r="P2" s="5">
        <v>717.6</v>
      </c>
      <c r="Q2" s="5">
        <v>239.2</v>
      </c>
      <c r="R2" s="6">
        <v>21.7</v>
      </c>
      <c r="S2" s="5">
        <v>108.7</v>
      </c>
      <c r="T2" s="3" t="s">
        <v>49</v>
      </c>
      <c r="U2" s="6">
        <v>8.4</v>
      </c>
      <c r="V2" s="6">
        <v>3.8</v>
      </c>
      <c r="W2" s="6">
        <f>U2-V2</f>
        <v>4.6000000000000005</v>
      </c>
      <c r="X2" s="6">
        <v>6.5</v>
      </c>
      <c r="Y2" s="4">
        <v>1850.0</v>
      </c>
      <c r="Z2" s="5">
        <v>786.2</v>
      </c>
      <c r="AA2" s="6">
        <v>42.5</v>
      </c>
      <c r="AB2" s="3" t="s">
        <v>50</v>
      </c>
      <c r="AC2" s="5">
        <v>759.8</v>
      </c>
      <c r="AD2" s="5">
        <v>328.3</v>
      </c>
      <c r="AE2" s="5">
        <f>AC2+AD2</f>
        <v>1088.1</v>
      </c>
      <c r="AF2" s="5">
        <v>586.5</v>
      </c>
      <c r="AG2" s="5">
        <v>420.7</v>
      </c>
      <c r="AH2" s="5">
        <v>141.8</v>
      </c>
      <c r="AI2" s="3" t="s">
        <v>51</v>
      </c>
      <c r="AJ2" s="3" t="s">
        <v>52</v>
      </c>
      <c r="AK2" s="3" t="s">
        <v>53</v>
      </c>
      <c r="AL2" s="3" t="s">
        <v>54</v>
      </c>
    </row>
    <row r="3" spans="8:8" ht="18.75" customHeight="1">
      <c r="A3" s="7" t="s">
        <v>55</v>
      </c>
      <c r="B3" s="8" t="s">
        <v>39</v>
      </c>
      <c r="C3" s="8" t="s">
        <v>56</v>
      </c>
      <c r="D3" s="8" t="s">
        <v>41</v>
      </c>
      <c r="E3" s="8" t="s">
        <v>42</v>
      </c>
      <c r="F3" s="8" t="s">
        <v>57</v>
      </c>
      <c r="G3" s="8" t="s">
        <v>58</v>
      </c>
      <c r="H3" s="8" t="s">
        <v>59</v>
      </c>
      <c r="I3" s="9">
        <v>140.0</v>
      </c>
      <c r="J3" s="9">
        <v>1120.0</v>
      </c>
      <c r="K3" s="10">
        <v>1114.0</v>
      </c>
      <c r="L3" s="8" t="s">
        <v>46</v>
      </c>
      <c r="M3" s="8" t="s">
        <v>47</v>
      </c>
      <c r="N3" s="8" t="s">
        <v>48</v>
      </c>
      <c r="O3" s="9">
        <v>68.0</v>
      </c>
      <c r="P3" s="10">
        <v>713.0</v>
      </c>
      <c r="Q3" s="10">
        <v>267.4</v>
      </c>
      <c r="R3" s="11">
        <v>22.3</v>
      </c>
      <c r="S3" s="10">
        <v>111.3</v>
      </c>
      <c r="T3" s="8" t="s">
        <v>60</v>
      </c>
      <c r="U3" s="11">
        <v>9.2</v>
      </c>
      <c r="V3" s="11">
        <v>4.5</v>
      </c>
      <c r="W3" s="11">
        <f>U3-V3</f>
        <v>4.699999999999999</v>
      </c>
      <c r="X3" s="11">
        <v>5.5</v>
      </c>
      <c r="Y3" s="9">
        <v>1420.0</v>
      </c>
      <c r="Z3" s="10">
        <v>681.6</v>
      </c>
      <c r="AA3" s="11">
        <v>48.0</v>
      </c>
      <c r="AB3" s="8" t="s">
        <v>50</v>
      </c>
      <c r="AC3" s="10">
        <v>780.0</v>
      </c>
      <c r="AD3" s="10">
        <v>283.9</v>
      </c>
      <c r="AE3" s="10">
        <f>AC3+AD3</f>
        <v>1063.9</v>
      </c>
      <c r="AF3" s="10">
        <v>570.0</v>
      </c>
      <c r="AG3" s="10">
        <v>422.2</v>
      </c>
      <c r="AH3" s="10">
        <v>134.7</v>
      </c>
      <c r="AI3" s="8" t="s">
        <v>61</v>
      </c>
      <c r="AJ3" s="8" t="s">
        <v>62</v>
      </c>
      <c r="AK3" s="8" t="s">
        <v>63</v>
      </c>
      <c r="AL3" s="8" t="s">
        <v>64</v>
      </c>
    </row>
    <row r="4" spans="8:8" ht="18.75" customHeight="1">
      <c r="A4" s="2" t="s">
        <v>65</v>
      </c>
      <c r="B4" s="3" t="s">
        <v>39</v>
      </c>
      <c r="C4" s="3" t="s">
        <v>66</v>
      </c>
      <c r="D4" s="3" t="s">
        <v>41</v>
      </c>
      <c r="E4" s="3" t="s">
        <v>42</v>
      </c>
      <c r="F4" s="3" t="s">
        <v>67</v>
      </c>
      <c r="G4" s="3" t="s">
        <v>68</v>
      </c>
      <c r="H4" s="3" t="s">
        <v>69</v>
      </c>
      <c r="I4" s="4">
        <v>195.0</v>
      </c>
      <c r="J4" s="4">
        <v>1160.0</v>
      </c>
      <c r="K4" s="5">
        <v>1160.0</v>
      </c>
      <c r="L4" s="3" t="s">
        <v>46</v>
      </c>
      <c r="M4" s="3" t="s">
        <v>70</v>
      </c>
      <c r="N4" s="3" t="s">
        <v>71</v>
      </c>
      <c r="O4" s="4">
        <v>71.0</v>
      </c>
      <c r="P4" s="5">
        <v>754.0</v>
      </c>
      <c r="Q4" s="5">
        <v>290.0</v>
      </c>
      <c r="R4" s="6">
        <v>23.2</v>
      </c>
      <c r="S4" s="5">
        <v>92.8</v>
      </c>
      <c r="T4" s="3" t="s">
        <v>72</v>
      </c>
      <c r="U4" s="6">
        <v>4.5</v>
      </c>
      <c r="V4" s="6">
        <v>1.8</v>
      </c>
      <c r="W4" s="6">
        <f>U4-V4</f>
        <v>2.7</v>
      </c>
      <c r="X4" s="6">
        <v>14.0</v>
      </c>
      <c r="Y4" s="4">
        <v>3450.0</v>
      </c>
      <c r="Z4" s="5">
        <v>1317.9</v>
      </c>
      <c r="AA4" s="6">
        <v>38.2</v>
      </c>
      <c r="AB4" s="3" t="s">
        <v>50</v>
      </c>
      <c r="AC4" s="5">
        <v>812.6</v>
      </c>
      <c r="AD4" s="5">
        <v>415.1</v>
      </c>
      <c r="AE4" s="5">
        <f>AC4+AD4</f>
        <v>1227.7</v>
      </c>
      <c r="AF4" s="5">
        <v>637.2</v>
      </c>
      <c r="AG4" s="5">
        <v>530.3</v>
      </c>
      <c r="AH4" s="5">
        <v>148.0</v>
      </c>
      <c r="AI4" s="3" t="s">
        <v>73</v>
      </c>
      <c r="AJ4" s="3" t="s">
        <v>74</v>
      </c>
      <c r="AK4" s="3" t="s">
        <v>75</v>
      </c>
      <c r="AL4" s="3" t="s">
        <v>76</v>
      </c>
    </row>
    <row r="5" spans="8:8" ht="18.75" customHeight="1">
      <c r="A5" s="7" t="s">
        <v>77</v>
      </c>
      <c r="B5" s="8" t="s">
        <v>39</v>
      </c>
      <c r="C5" s="8" t="s">
        <v>78</v>
      </c>
      <c r="D5" s="8" t="s">
        <v>41</v>
      </c>
      <c r="E5" s="8" t="s">
        <v>42</v>
      </c>
      <c r="F5" s="8" t="s">
        <v>79</v>
      </c>
      <c r="G5" s="8" t="s">
        <v>80</v>
      </c>
      <c r="H5" s="8" t="s">
        <v>81</v>
      </c>
      <c r="I5" s="9">
        <v>185.0</v>
      </c>
      <c r="J5" s="9">
        <v>1095.0</v>
      </c>
      <c r="K5" s="10">
        <v>1087.0</v>
      </c>
      <c r="L5" s="8" t="s">
        <v>46</v>
      </c>
      <c r="M5" s="8" t="s">
        <v>70</v>
      </c>
      <c r="N5" s="8" t="s">
        <v>71</v>
      </c>
      <c r="O5" s="9">
        <v>67.0</v>
      </c>
      <c r="P5" s="10">
        <v>717.4</v>
      </c>
      <c r="Q5" s="10">
        <v>260.9</v>
      </c>
      <c r="R5" s="11">
        <v>21.7</v>
      </c>
      <c r="S5" s="10">
        <v>87.0</v>
      </c>
      <c r="T5" s="8" t="s">
        <v>82</v>
      </c>
      <c r="U5" s="11">
        <v>6.8</v>
      </c>
      <c r="V5" s="11">
        <v>2.9</v>
      </c>
      <c r="W5" s="11">
        <f>U5-V5</f>
        <v>3.9</v>
      </c>
      <c r="X5" s="11">
        <v>12.5</v>
      </c>
      <c r="Y5" s="9">
        <v>3120.0</v>
      </c>
      <c r="Z5" s="10">
        <v>1634.9</v>
      </c>
      <c r="AA5" s="10">
        <v>52.4</v>
      </c>
      <c r="AB5" s="8" t="s">
        <v>50</v>
      </c>
      <c r="AC5" s="10">
        <v>760.6</v>
      </c>
      <c r="AD5" s="10">
        <v>535.2</v>
      </c>
      <c r="AE5" s="10">
        <f>AC5+AD5</f>
        <v>1295.8000000000002</v>
      </c>
      <c r="AF5" s="10">
        <v>648.4</v>
      </c>
      <c r="AG5" s="10">
        <v>562.7</v>
      </c>
      <c r="AH5" s="10">
        <v>167.9</v>
      </c>
      <c r="AI5" s="8" t="s">
        <v>83</v>
      </c>
      <c r="AJ5" s="8" t="s">
        <v>84</v>
      </c>
      <c r="AK5" s="8" t="s">
        <v>85</v>
      </c>
      <c r="AL5" s="8" t="s">
        <v>86</v>
      </c>
    </row>
    <row r="6" spans="8:8" ht="18.75" customHeight="1">
      <c r="A6" s="2" t="s">
        <v>87</v>
      </c>
      <c r="B6" s="3" t="s">
        <v>39</v>
      </c>
      <c r="C6" s="3" t="s">
        <v>88</v>
      </c>
      <c r="D6" s="3" t="s">
        <v>41</v>
      </c>
      <c r="E6" s="3" t="s">
        <v>42</v>
      </c>
      <c r="F6" s="3" t="s">
        <v>89</v>
      </c>
      <c r="G6" s="3" t="s">
        <v>90</v>
      </c>
      <c r="H6" s="3" t="s">
        <v>91</v>
      </c>
      <c r="I6" s="4">
        <v>190.0</v>
      </c>
      <c r="J6" s="4">
        <v>1010.0</v>
      </c>
      <c r="K6" s="5">
        <v>995.2</v>
      </c>
      <c r="L6" s="3" t="s">
        <v>46</v>
      </c>
      <c r="M6" s="3" t="s">
        <v>70</v>
      </c>
      <c r="N6" s="3" t="s">
        <v>71</v>
      </c>
      <c r="O6" s="4">
        <v>58.0</v>
      </c>
      <c r="P6" s="5">
        <v>636.9</v>
      </c>
      <c r="Q6" s="5">
        <v>258.8</v>
      </c>
      <c r="R6" s="6">
        <v>19.9</v>
      </c>
      <c r="S6" s="5">
        <v>79.6</v>
      </c>
      <c r="T6" s="3" t="s">
        <v>92</v>
      </c>
      <c r="U6" s="6">
        <v>7.2</v>
      </c>
      <c r="V6" s="6">
        <v>3.1</v>
      </c>
      <c r="W6" s="6">
        <f>U6-V6</f>
        <v>4.1</v>
      </c>
      <c r="X6" s="6">
        <v>11.0</v>
      </c>
      <c r="Y6" s="4">
        <v>2890.0</v>
      </c>
      <c r="Z6" s="5">
        <v>1430.5</v>
      </c>
      <c r="AA6" s="6">
        <v>49.5</v>
      </c>
      <c r="AB6" s="3" t="s">
        <v>50</v>
      </c>
      <c r="AC6" s="5">
        <v>697.8</v>
      </c>
      <c r="AD6" s="5">
        <v>495.2</v>
      </c>
      <c r="AE6" s="5">
        <f>AC6+AD6</f>
        <v>1193.0</v>
      </c>
      <c r="AF6" s="5">
        <v>581.7</v>
      </c>
      <c r="AG6" s="5">
        <v>542.1</v>
      </c>
      <c r="AH6" s="5">
        <v>154.7</v>
      </c>
      <c r="AI6" s="3" t="s">
        <v>73</v>
      </c>
      <c r="AJ6" s="3" t="s">
        <v>74</v>
      </c>
      <c r="AK6" s="3" t="s">
        <v>75</v>
      </c>
      <c r="AL6" s="3" t="s">
        <v>76</v>
      </c>
    </row>
    <row r="7" spans="8:8" ht="18.75" customHeight="1">
      <c r="A7" s="7" t="s">
        <v>93</v>
      </c>
      <c r="B7" s="8" t="s">
        <v>39</v>
      </c>
      <c r="C7" s="8" t="s">
        <v>94</v>
      </c>
      <c r="D7" s="8" t="s">
        <v>41</v>
      </c>
      <c r="E7" s="8" t="s">
        <v>42</v>
      </c>
      <c r="F7" s="8" t="s">
        <v>95</v>
      </c>
      <c r="G7" s="8" t="s">
        <v>96</v>
      </c>
      <c r="H7" s="8" t="s">
        <v>91</v>
      </c>
      <c r="I7" s="9">
        <v>195.0</v>
      </c>
      <c r="J7" s="9">
        <v>925.0</v>
      </c>
      <c r="K7" s="10">
        <v>916.4</v>
      </c>
      <c r="L7" s="8" t="s">
        <v>46</v>
      </c>
      <c r="M7" s="8" t="s">
        <v>70</v>
      </c>
      <c r="N7" s="8" t="s">
        <v>97</v>
      </c>
      <c r="O7" s="9">
        <v>54.0</v>
      </c>
      <c r="P7" s="10">
        <v>549.8</v>
      </c>
      <c r="Q7" s="10">
        <v>274.9</v>
      </c>
      <c r="R7" s="11">
        <v>18.3</v>
      </c>
      <c r="S7" s="10">
        <v>73.4</v>
      </c>
      <c r="T7" s="8" t="s">
        <v>98</v>
      </c>
      <c r="U7" s="11">
        <v>8.6</v>
      </c>
      <c r="V7" s="11">
        <v>3.9</v>
      </c>
      <c r="W7" s="11">
        <f>U7-V7</f>
        <v>4.699999999999999</v>
      </c>
      <c r="X7" s="11">
        <v>9.5</v>
      </c>
      <c r="Y7" s="9">
        <v>2650.0</v>
      </c>
      <c r="Z7" s="10">
        <v>1478.7</v>
      </c>
      <c r="AA7" s="10">
        <v>55.8</v>
      </c>
      <c r="AB7" s="8" t="s">
        <v>50</v>
      </c>
      <c r="AC7" s="10">
        <v>645.2</v>
      </c>
      <c r="AD7" s="10">
        <v>490.2</v>
      </c>
      <c r="AE7" s="10">
        <f>AC7+AD7</f>
        <v>1135.4</v>
      </c>
      <c r="AF7" s="10">
        <v>521.0</v>
      </c>
      <c r="AG7" s="10">
        <v>552.8</v>
      </c>
      <c r="AH7" s="10">
        <v>149.4</v>
      </c>
      <c r="AI7" s="8" t="s">
        <v>73</v>
      </c>
      <c r="AJ7" s="8" t="s">
        <v>74</v>
      </c>
      <c r="AK7" s="8" t="s">
        <v>75</v>
      </c>
      <c r="AL7" s="8" t="s">
        <v>76</v>
      </c>
    </row>
    <row r="8" spans="8:8" ht="18.75" customHeight="1">
      <c r="A8" s="2" t="s">
        <v>99</v>
      </c>
      <c r="B8" s="3" t="s">
        <v>39</v>
      </c>
      <c r="C8" s="3" t="s">
        <v>100</v>
      </c>
      <c r="D8" s="3" t="s">
        <v>101</v>
      </c>
      <c r="E8" s="3" t="s">
        <v>42</v>
      </c>
      <c r="F8" s="3" t="s">
        <v>102</v>
      </c>
      <c r="G8" s="3" t="s">
        <v>103</v>
      </c>
      <c r="H8" s="3" t="s">
        <v>104</v>
      </c>
      <c r="I8" s="4">
        <v>175.0</v>
      </c>
      <c r="J8" s="4">
        <v>780.0</v>
      </c>
      <c r="K8" s="5">
        <v>776.9</v>
      </c>
      <c r="L8" s="3" t="s">
        <v>46</v>
      </c>
      <c r="M8" s="3" t="s">
        <v>47</v>
      </c>
      <c r="N8" s="3" t="s">
        <v>71</v>
      </c>
      <c r="O8" s="4">
        <v>46.0</v>
      </c>
      <c r="P8" s="5">
        <v>481.7</v>
      </c>
      <c r="Q8" s="5">
        <v>217.5</v>
      </c>
      <c r="R8" s="6">
        <v>15.5</v>
      </c>
      <c r="S8" s="5">
        <v>62.2</v>
      </c>
      <c r="T8" s="3" t="s">
        <v>105</v>
      </c>
      <c r="U8" s="6">
        <v>14.5</v>
      </c>
      <c r="V8" s="6">
        <v>8.2</v>
      </c>
      <c r="W8" s="6">
        <f>U8-V8</f>
        <v>6.300000000000001</v>
      </c>
      <c r="X8" s="6">
        <v>5.0</v>
      </c>
      <c r="Y8" s="4">
        <v>1680.0</v>
      </c>
      <c r="Z8" s="5">
        <v>1283.5</v>
      </c>
      <c r="AA8" s="5">
        <v>76.4</v>
      </c>
      <c r="AB8" s="3" t="s">
        <v>106</v>
      </c>
      <c r="AC8" s="5">
        <v>545.9</v>
      </c>
      <c r="AD8" s="5">
        <v>288.2</v>
      </c>
      <c r="AE8" s="5">
        <f>AC8+AD8</f>
        <v>834.0999999999999</v>
      </c>
      <c r="AF8" s="5">
        <v>414.1</v>
      </c>
      <c r="AG8" s="5">
        <v>353.9</v>
      </c>
      <c r="AH8" s="5">
        <v>101.1</v>
      </c>
      <c r="AI8" s="3" t="s">
        <v>73</v>
      </c>
      <c r="AJ8" s="3" t="s">
        <v>74</v>
      </c>
      <c r="AK8" s="3" t="s">
        <v>75</v>
      </c>
      <c r="AL8" s="3" t="s">
        <v>76</v>
      </c>
    </row>
    <row r="9" spans="8:8" ht="18.75" customHeight="1">
      <c r="A9" s="7" t="s">
        <v>107</v>
      </c>
      <c r="B9" s="8" t="s">
        <v>39</v>
      </c>
      <c r="C9" s="8" t="s">
        <v>108</v>
      </c>
      <c r="D9" s="8" t="s">
        <v>41</v>
      </c>
      <c r="E9" s="8" t="s">
        <v>42</v>
      </c>
      <c r="F9" s="8" t="s">
        <v>109</v>
      </c>
      <c r="G9" s="8" t="s">
        <v>110</v>
      </c>
      <c r="H9" s="8" t="s">
        <v>45</v>
      </c>
      <c r="I9" s="9">
        <v>145.0</v>
      </c>
      <c r="J9" s="9">
        <v>995.0</v>
      </c>
      <c r="K9" s="10">
        <v>983.7</v>
      </c>
      <c r="L9" s="8" t="s">
        <v>111</v>
      </c>
      <c r="M9" s="8" t="s">
        <v>112</v>
      </c>
      <c r="N9" s="8" t="s">
        <v>113</v>
      </c>
      <c r="O9" s="9">
        <v>57.0</v>
      </c>
      <c r="P9" s="10">
        <v>373.8</v>
      </c>
      <c r="Q9" s="10">
        <v>531.2</v>
      </c>
      <c r="R9" s="11">
        <v>29.5</v>
      </c>
      <c r="S9" s="11">
        <v>49.2</v>
      </c>
      <c r="T9" s="8" t="s">
        <v>114</v>
      </c>
      <c r="U9" s="11">
        <v>10.4</v>
      </c>
      <c r="V9" s="11">
        <v>4.6</v>
      </c>
      <c r="W9" s="11">
        <f>U9-V9</f>
        <v>5.800000000000001</v>
      </c>
      <c r="X9" s="11">
        <v>8.5</v>
      </c>
      <c r="Y9" s="9">
        <v>2480.0</v>
      </c>
      <c r="Z9" s="10">
        <v>1517.8</v>
      </c>
      <c r="AA9" s="10">
        <v>61.2</v>
      </c>
      <c r="AB9" s="8" t="s">
        <v>50</v>
      </c>
      <c r="AC9" s="10">
        <v>709.1</v>
      </c>
      <c r="AD9" s="10">
        <v>541.4</v>
      </c>
      <c r="AE9" s="10">
        <f>AC9+AD9</f>
        <v>1250.5</v>
      </c>
      <c r="AF9" s="10">
        <v>416.6</v>
      </c>
      <c r="AG9" s="10">
        <v>720.2</v>
      </c>
      <c r="AH9" s="10">
        <v>142.7</v>
      </c>
      <c r="AI9" s="8" t="s">
        <v>61</v>
      </c>
      <c r="AJ9" s="8" t="s">
        <v>62</v>
      </c>
      <c r="AK9" s="8" t="s">
        <v>63</v>
      </c>
      <c r="AL9" s="8" t="s">
        <v>64</v>
      </c>
    </row>
    <row r="10" spans="8:8" ht="18.75" customHeight="1">
      <c r="A10" s="2" t="s">
        <v>115</v>
      </c>
      <c r="B10" s="3" t="s">
        <v>39</v>
      </c>
      <c r="C10" s="3" t="s">
        <v>116</v>
      </c>
      <c r="D10" s="3" t="s">
        <v>101</v>
      </c>
      <c r="E10" s="3" t="s">
        <v>117</v>
      </c>
      <c r="F10" s="3" t="s">
        <v>118</v>
      </c>
      <c r="G10" s="3" t="s">
        <v>119</v>
      </c>
      <c r="H10" s="3" t="s">
        <v>120</v>
      </c>
      <c r="I10" s="4">
        <v>120.0</v>
      </c>
      <c r="J10" s="4">
        <v>910.0</v>
      </c>
      <c r="K10" s="5">
        <v>904.5</v>
      </c>
      <c r="L10" s="3" t="s">
        <v>121</v>
      </c>
      <c r="M10" s="3" t="s">
        <v>112</v>
      </c>
      <c r="N10" s="3" t="s">
        <v>113</v>
      </c>
      <c r="O10" s="4">
        <v>53.0</v>
      </c>
      <c r="P10" s="5">
        <v>416.1</v>
      </c>
      <c r="Q10" s="5">
        <v>398.0</v>
      </c>
      <c r="R10" s="6">
        <v>27.1</v>
      </c>
      <c r="S10" s="5">
        <v>63.3</v>
      </c>
      <c r="T10" s="3" t="s">
        <v>122</v>
      </c>
      <c r="U10" s="6">
        <v>18.6</v>
      </c>
      <c r="V10" s="6">
        <v>11.4</v>
      </c>
      <c r="W10" s="6">
        <f>U10-V10</f>
        <v>7.200000000000001</v>
      </c>
      <c r="X10" s="6">
        <v>3.5</v>
      </c>
      <c r="Y10" s="4">
        <v>1750.0</v>
      </c>
      <c r="Z10" s="5">
        <v>1548.8</v>
      </c>
      <c r="AA10" s="5">
        <v>88.5</v>
      </c>
      <c r="AB10" s="3" t="s">
        <v>106</v>
      </c>
      <c r="AC10" s="5">
        <v>646.0</v>
      </c>
      <c r="AD10" s="5">
        <v>230.5</v>
      </c>
      <c r="AE10" s="5">
        <f>AC10+AD10</f>
        <v>876.5</v>
      </c>
      <c r="AF10" s="5">
        <v>352.0</v>
      </c>
      <c r="AG10" s="5">
        <v>458.0</v>
      </c>
      <c r="AH10" s="5">
        <v>90.4</v>
      </c>
      <c r="AI10" s="3" t="s">
        <v>123</v>
      </c>
      <c r="AJ10" s="3" t="s">
        <v>124</v>
      </c>
      <c r="AK10" s="3" t="s">
        <v>125</v>
      </c>
      <c r="AL10" s="3" t="s">
        <v>126</v>
      </c>
    </row>
    <row r="11" spans="8:8" ht="18.75" customHeight="1">
      <c r="A11" s="7" t="s">
        <v>127</v>
      </c>
      <c r="B11" s="8" t="s">
        <v>39</v>
      </c>
      <c r="C11" s="8" t="s">
        <v>128</v>
      </c>
      <c r="D11" s="8" t="s">
        <v>101</v>
      </c>
      <c r="E11" s="8" t="s">
        <v>117</v>
      </c>
      <c r="F11" s="8" t="s">
        <v>129</v>
      </c>
      <c r="G11" s="8" t="s">
        <v>130</v>
      </c>
      <c r="H11" s="8" t="s">
        <v>131</v>
      </c>
      <c r="I11" s="9">
        <v>165.0</v>
      </c>
      <c r="J11" s="9">
        <v>645.0</v>
      </c>
      <c r="K11" s="10">
        <v>644.6</v>
      </c>
      <c r="L11" s="8" t="s">
        <v>132</v>
      </c>
      <c r="M11" s="8" t="s">
        <v>133</v>
      </c>
      <c r="N11" s="8" t="s">
        <v>134</v>
      </c>
      <c r="O11" s="9">
        <v>39.0</v>
      </c>
      <c r="P11" s="10">
        <v>438.3</v>
      </c>
      <c r="Q11" s="10">
        <v>141.8</v>
      </c>
      <c r="R11" s="11">
        <v>12.9</v>
      </c>
      <c r="S11" s="10">
        <v>51.6</v>
      </c>
      <c r="T11" s="8" t="s">
        <v>135</v>
      </c>
      <c r="U11" s="11">
        <v>15.2</v>
      </c>
      <c r="V11" s="11">
        <v>9.1</v>
      </c>
      <c r="W11" s="11">
        <f>U11-V11</f>
        <v>6.1</v>
      </c>
      <c r="X11" s="11">
        <v>4.2</v>
      </c>
      <c r="Y11" s="9">
        <v>1590.0</v>
      </c>
      <c r="Z11" s="10">
        <v>1176.6</v>
      </c>
      <c r="AA11" s="10">
        <v>74.0</v>
      </c>
      <c r="AB11" s="8" t="s">
        <v>106</v>
      </c>
      <c r="AC11" s="10">
        <v>450.1</v>
      </c>
      <c r="AD11" s="10">
        <v>234.5</v>
      </c>
      <c r="AE11" s="10">
        <f>AC11+AD11</f>
        <v>684.6</v>
      </c>
      <c r="AF11" s="10">
        <v>368.3</v>
      </c>
      <c r="AG11" s="10">
        <v>266.2</v>
      </c>
      <c r="AH11" s="10">
        <v>83.0</v>
      </c>
      <c r="AI11" s="8" t="s">
        <v>136</v>
      </c>
      <c r="AJ11" s="8" t="s">
        <v>137</v>
      </c>
      <c r="AK11" s="8" t="s">
        <v>75</v>
      </c>
      <c r="AL11" s="8" t="s">
        <v>138</v>
      </c>
    </row>
    <row r="12" spans="8:8" ht="18.75" customHeight="1">
      <c r="A12" s="2" t="s">
        <v>139</v>
      </c>
      <c r="B12" s="3" t="s">
        <v>39</v>
      </c>
      <c r="C12" s="3" t="s">
        <v>140</v>
      </c>
      <c r="D12" s="3" t="s">
        <v>101</v>
      </c>
      <c r="E12" s="3" t="s">
        <v>117</v>
      </c>
      <c r="F12" s="3" t="s">
        <v>141</v>
      </c>
      <c r="G12" s="3" t="s">
        <v>142</v>
      </c>
      <c r="H12" s="3" t="s">
        <v>143</v>
      </c>
      <c r="I12" s="4">
        <v>95.0</v>
      </c>
      <c r="J12" s="4">
        <v>552.0</v>
      </c>
      <c r="K12" s="5">
        <v>546.9</v>
      </c>
      <c r="L12" s="3" t="s">
        <v>144</v>
      </c>
      <c r="M12" s="3" t="s">
        <v>133</v>
      </c>
      <c r="N12" s="3" t="s">
        <v>145</v>
      </c>
      <c r="O12" s="4">
        <v>34.0</v>
      </c>
      <c r="P12" s="5">
        <v>328.1</v>
      </c>
      <c r="Q12" s="5">
        <v>153.1</v>
      </c>
      <c r="R12" s="6">
        <v>10.9</v>
      </c>
      <c r="S12" s="5">
        <v>54.8</v>
      </c>
      <c r="T12" s="3" t="s">
        <v>146</v>
      </c>
      <c r="U12" s="6">
        <v>22.4</v>
      </c>
      <c r="V12" s="6">
        <v>14.8</v>
      </c>
      <c r="W12" s="6">
        <f>U12-V12</f>
        <v>7.599999999999998</v>
      </c>
      <c r="X12" s="6">
        <v>3.0</v>
      </c>
      <c r="Y12" s="4">
        <v>1410.0</v>
      </c>
      <c r="Z12" s="5">
        <v>1328.2</v>
      </c>
      <c r="AA12" s="5">
        <v>94.2</v>
      </c>
      <c r="AB12" s="3" t="s">
        <v>147</v>
      </c>
      <c r="AC12" s="5">
        <v>384.5</v>
      </c>
      <c r="AD12" s="5">
        <v>153.0</v>
      </c>
      <c r="AE12" s="5">
        <f>AC12+AD12</f>
        <v>537.5</v>
      </c>
      <c r="AF12" s="5">
        <v>269.0</v>
      </c>
      <c r="AG12" s="5">
        <v>218.5</v>
      </c>
      <c r="AH12" s="5">
        <v>69.0</v>
      </c>
      <c r="AI12" s="3" t="s">
        <v>123</v>
      </c>
      <c r="AJ12" s="3" t="s">
        <v>124</v>
      </c>
      <c r="AK12" s="3" t="s">
        <v>125</v>
      </c>
      <c r="AL12" s="3" t="s">
        <v>126</v>
      </c>
    </row>
    <row r="13" spans="8:8" ht="18.75" customHeight="1">
      <c r="A13" s="7" t="s">
        <v>148</v>
      </c>
      <c r="B13" s="8" t="s">
        <v>39</v>
      </c>
      <c r="C13" s="8" t="s">
        <v>149</v>
      </c>
      <c r="D13" s="8" t="s">
        <v>101</v>
      </c>
      <c r="E13" s="8" t="s">
        <v>117</v>
      </c>
      <c r="F13" s="8" t="s">
        <v>150</v>
      </c>
      <c r="G13" s="8" t="s">
        <v>151</v>
      </c>
      <c r="H13" s="8" t="s">
        <v>131</v>
      </c>
      <c r="I13" s="9">
        <v>150.0</v>
      </c>
      <c r="J13" s="9">
        <v>695.0</v>
      </c>
      <c r="K13" s="10">
        <v>693.2</v>
      </c>
      <c r="L13" s="8" t="s">
        <v>46</v>
      </c>
      <c r="M13" s="8" t="s">
        <v>70</v>
      </c>
      <c r="N13" s="8" t="s">
        <v>48</v>
      </c>
      <c r="O13" s="9">
        <v>41.0</v>
      </c>
      <c r="P13" s="10">
        <v>388.2</v>
      </c>
      <c r="Q13" s="10">
        <v>235.7</v>
      </c>
      <c r="R13" s="11">
        <v>13.9</v>
      </c>
      <c r="S13" s="10">
        <v>55.4</v>
      </c>
      <c r="T13" s="8" t="s">
        <v>152</v>
      </c>
      <c r="U13" s="11">
        <v>17.8</v>
      </c>
      <c r="V13" s="11">
        <v>10.9</v>
      </c>
      <c r="W13" s="11">
        <f>U13-V13</f>
        <v>6.9</v>
      </c>
      <c r="X13" s="11">
        <v>4.0</v>
      </c>
      <c r="Y13" s="9">
        <v>1380.0</v>
      </c>
      <c r="Z13" s="10">
        <v>1167.5</v>
      </c>
      <c r="AA13" s="10">
        <v>84.6</v>
      </c>
      <c r="AB13" s="8" t="s">
        <v>106</v>
      </c>
      <c r="AC13" s="10">
        <v>490.0</v>
      </c>
      <c r="AD13" s="10">
        <v>252.5</v>
      </c>
      <c r="AE13" s="10">
        <f>AC13+AD13</f>
        <v>742.5</v>
      </c>
      <c r="AF13" s="10">
        <v>339.8</v>
      </c>
      <c r="AG13" s="10">
        <v>343.4</v>
      </c>
      <c r="AH13" s="10">
        <v>89.3</v>
      </c>
      <c r="AI13" s="8" t="s">
        <v>153</v>
      </c>
      <c r="AJ13" s="8" t="s">
        <v>154</v>
      </c>
      <c r="AK13" s="8" t="s">
        <v>155</v>
      </c>
      <c r="AL13" s="8" t="s">
        <v>156</v>
      </c>
    </row>
    <row r="14" spans="8:8" ht="18.75" customHeight="1">
      <c r="A14" s="2" t="s">
        <v>157</v>
      </c>
      <c r="B14" s="3" t="s">
        <v>39</v>
      </c>
      <c r="C14" s="3" t="s">
        <v>158</v>
      </c>
      <c r="D14" s="3" t="s">
        <v>41</v>
      </c>
      <c r="E14" s="3" t="s">
        <v>42</v>
      </c>
      <c r="F14" s="3" t="s">
        <v>159</v>
      </c>
      <c r="G14" s="3" t="s">
        <v>160</v>
      </c>
      <c r="H14" s="3" t="s">
        <v>161</v>
      </c>
      <c r="I14" s="4">
        <v>160.0</v>
      </c>
      <c r="J14" s="4">
        <v>1380.0</v>
      </c>
      <c r="K14" s="5">
        <v>1383.7</v>
      </c>
      <c r="L14" s="3" t="s">
        <v>162</v>
      </c>
      <c r="M14" s="3" t="s">
        <v>163</v>
      </c>
      <c r="N14" s="3" t="s">
        <v>164</v>
      </c>
      <c r="O14" s="4">
        <v>83.0</v>
      </c>
      <c r="P14" s="5">
        <v>996.3</v>
      </c>
      <c r="Q14" s="5">
        <v>221.4</v>
      </c>
      <c r="R14" s="6">
        <v>27.7</v>
      </c>
      <c r="S14" s="5">
        <v>138.3</v>
      </c>
      <c r="T14" s="3" t="s">
        <v>165</v>
      </c>
      <c r="U14" s="6">
        <v>6.2</v>
      </c>
      <c r="V14" s="6">
        <v>2.4</v>
      </c>
      <c r="W14" s="6">
        <f>U14-V14</f>
        <v>3.8000000000000003</v>
      </c>
      <c r="X14" s="6">
        <v>4.5</v>
      </c>
      <c r="Y14" s="4">
        <v>920.0</v>
      </c>
      <c r="Z14" s="5">
        <v>170.2</v>
      </c>
      <c r="AA14" s="6">
        <v>18.5</v>
      </c>
      <c r="AB14" s="3" t="s">
        <v>50</v>
      </c>
      <c r="AC14" s="5">
        <v>961.1</v>
      </c>
      <c r="AD14" s="5">
        <v>187.7</v>
      </c>
      <c r="AE14" s="5">
        <f>AC14+AD14</f>
        <v>1148.8</v>
      </c>
      <c r="AF14" s="5">
        <v>733.8</v>
      </c>
      <c r="AG14" s="5">
        <v>352.6</v>
      </c>
      <c r="AH14" s="5">
        <v>134.3</v>
      </c>
      <c r="AI14" s="3" t="s">
        <v>61</v>
      </c>
      <c r="AJ14" s="3" t="s">
        <v>62</v>
      </c>
      <c r="AK14" s="3" t="s">
        <v>63</v>
      </c>
      <c r="AL14" s="3" t="s">
        <v>64</v>
      </c>
    </row>
    <row r="15" spans="8:8" ht="18.75" customHeight="1">
      <c r="A15" s="7" t="s">
        <v>166</v>
      </c>
      <c r="B15" s="8" t="s">
        <v>167</v>
      </c>
      <c r="C15" s="8" t="s">
        <v>168</v>
      </c>
      <c r="D15" s="8" t="s">
        <v>101</v>
      </c>
      <c r="E15" s="8" t="s">
        <v>167</v>
      </c>
      <c r="F15" s="8" t="s">
        <v>169</v>
      </c>
      <c r="G15" s="8" t="s">
        <v>170</v>
      </c>
      <c r="H15" s="8" t="s">
        <v>131</v>
      </c>
      <c r="I15" s="9">
        <v>155.0</v>
      </c>
      <c r="J15" s="9">
        <v>1020.0</v>
      </c>
      <c r="K15" s="10">
        <v>1015.2</v>
      </c>
      <c r="L15" s="8" t="s">
        <v>171</v>
      </c>
      <c r="M15" s="8" t="s">
        <v>172</v>
      </c>
      <c r="N15" s="8" t="s">
        <v>173</v>
      </c>
      <c r="O15" s="9">
        <v>63.0</v>
      </c>
      <c r="P15" s="10">
        <v>832.5</v>
      </c>
      <c r="Q15" s="10">
        <v>101.5</v>
      </c>
      <c r="R15" s="11">
        <v>20.3</v>
      </c>
      <c r="S15" s="10">
        <v>60.9</v>
      </c>
      <c r="T15" s="8" t="s">
        <v>174</v>
      </c>
      <c r="U15" s="11">
        <v>11.2</v>
      </c>
      <c r="V15" s="11">
        <v>4.8</v>
      </c>
      <c r="W15" s="11">
        <f>U15-V15</f>
        <v>6.3999999999999995</v>
      </c>
      <c r="X15" s="11">
        <v>4.5</v>
      </c>
      <c r="Y15" s="9">
        <v>2850.0</v>
      </c>
      <c r="Z15" s="10">
        <v>1949.4</v>
      </c>
      <c r="AA15" s="10">
        <v>68.4</v>
      </c>
      <c r="AB15" s="8" t="s">
        <v>50</v>
      </c>
      <c r="AC15" s="10">
        <v>700.0</v>
      </c>
      <c r="AD15" s="10">
        <v>316.3</v>
      </c>
      <c r="AE15" s="10">
        <f>AC15+AD15</f>
        <v>1016.3</v>
      </c>
      <c r="AF15" s="10">
        <v>661.0</v>
      </c>
      <c r="AG15" s="10">
        <v>319.3</v>
      </c>
      <c r="AH15" s="10">
        <v>105.9</v>
      </c>
      <c r="AI15" s="8" t="s">
        <v>175</v>
      </c>
      <c r="AJ15" s="8" t="s">
        <v>176</v>
      </c>
      <c r="AK15" s="8" t="s">
        <v>155</v>
      </c>
      <c r="AL15" s="8" t="s">
        <v>177</v>
      </c>
    </row>
    <row r="16" spans="8:8" ht="18.75" customHeight="1">
      <c r="A16" s="2" t="s">
        <v>178</v>
      </c>
      <c r="B16" s="3" t="s">
        <v>167</v>
      </c>
      <c r="C16" s="3" t="s">
        <v>179</v>
      </c>
      <c r="D16" s="3" t="s">
        <v>101</v>
      </c>
      <c r="E16" s="3" t="s">
        <v>167</v>
      </c>
      <c r="F16" s="3" t="s">
        <v>180</v>
      </c>
      <c r="G16" s="3" t="s">
        <v>181</v>
      </c>
      <c r="H16" s="3" t="s">
        <v>182</v>
      </c>
      <c r="I16" s="4">
        <v>190.0</v>
      </c>
      <c r="J16" s="4">
        <v>1110.0</v>
      </c>
      <c r="K16" s="5">
        <v>1096.7</v>
      </c>
      <c r="L16" s="3" t="s">
        <v>171</v>
      </c>
      <c r="M16" s="3" t="s">
        <v>172</v>
      </c>
      <c r="N16" s="3" t="s">
        <v>183</v>
      </c>
      <c r="O16" s="4">
        <v>67.0</v>
      </c>
      <c r="P16" s="5">
        <v>932.2</v>
      </c>
      <c r="Q16" s="5">
        <v>98.7</v>
      </c>
      <c r="R16" s="6">
        <v>21.9</v>
      </c>
      <c r="S16" s="6">
        <v>43.9</v>
      </c>
      <c r="T16" s="3" t="s">
        <v>184</v>
      </c>
      <c r="U16" s="6">
        <v>9.8</v>
      </c>
      <c r="V16" s="6">
        <v>4.1</v>
      </c>
      <c r="W16" s="6">
        <f>U16-V16</f>
        <v>5.700000000000001</v>
      </c>
      <c r="X16" s="6">
        <v>5.0</v>
      </c>
      <c r="Y16" s="4">
        <v>1950.0</v>
      </c>
      <c r="Z16" s="5">
        <v>1056.9</v>
      </c>
      <c r="AA16" s="5">
        <v>54.2</v>
      </c>
      <c r="AB16" s="3" t="s">
        <v>50</v>
      </c>
      <c r="AC16" s="5">
        <v>755.0</v>
      </c>
      <c r="AD16" s="5">
        <v>312.9</v>
      </c>
      <c r="AE16" s="5">
        <f>AC16+AD16</f>
        <v>1067.9</v>
      </c>
      <c r="AF16" s="5">
        <v>727.8</v>
      </c>
      <c r="AG16" s="5">
        <v>332.3</v>
      </c>
      <c r="AH16" s="5">
        <v>93.3</v>
      </c>
      <c r="AI16" s="3" t="s">
        <v>73</v>
      </c>
      <c r="AJ16" s="3" t="s">
        <v>74</v>
      </c>
      <c r="AK16" s="3" t="s">
        <v>75</v>
      </c>
      <c r="AL16" s="3" t="s">
        <v>76</v>
      </c>
    </row>
    <row r="17" spans="8:8" ht="18.75" customHeight="1">
      <c r="A17" s="7" t="s">
        <v>185</v>
      </c>
      <c r="B17" s="8" t="s">
        <v>167</v>
      </c>
      <c r="C17" s="8" t="s">
        <v>186</v>
      </c>
      <c r="D17" s="8" t="s">
        <v>101</v>
      </c>
      <c r="E17" s="8" t="s">
        <v>167</v>
      </c>
      <c r="F17" s="8" t="s">
        <v>187</v>
      </c>
      <c r="G17" s="8" t="s">
        <v>188</v>
      </c>
      <c r="H17" s="8" t="s">
        <v>189</v>
      </c>
      <c r="I17" s="9">
        <v>160.0</v>
      </c>
      <c r="J17" s="9">
        <v>1065.0</v>
      </c>
      <c r="K17" s="10">
        <v>1057.9</v>
      </c>
      <c r="L17" s="8" t="s">
        <v>132</v>
      </c>
      <c r="M17" s="8" t="s">
        <v>190</v>
      </c>
      <c r="N17" s="8" t="s">
        <v>191</v>
      </c>
      <c r="O17" s="9">
        <v>65.0</v>
      </c>
      <c r="P17" s="10">
        <v>846.3</v>
      </c>
      <c r="Q17" s="10">
        <v>126.9</v>
      </c>
      <c r="R17" s="11">
        <v>21.2</v>
      </c>
      <c r="S17" s="10">
        <v>63.5</v>
      </c>
      <c r="T17" s="8" t="s">
        <v>192</v>
      </c>
      <c r="U17" s="11">
        <v>8.9</v>
      </c>
      <c r="V17" s="11">
        <v>3.7</v>
      </c>
      <c r="W17" s="11">
        <f>U17-V17</f>
        <v>5.2</v>
      </c>
      <c r="X17" s="11">
        <v>5.5</v>
      </c>
      <c r="Y17" s="9">
        <v>3100.0</v>
      </c>
      <c r="Z17" s="10">
        <v>1922.0</v>
      </c>
      <c r="AA17" s="10">
        <v>62.0</v>
      </c>
      <c r="AB17" s="8" t="s">
        <v>50</v>
      </c>
      <c r="AC17" s="10">
        <v>731.0</v>
      </c>
      <c r="AD17" s="10">
        <v>314.0</v>
      </c>
      <c r="AE17" s="10">
        <f>AC17+AD17</f>
        <v>1045.0</v>
      </c>
      <c r="AF17" s="10">
        <v>669.7</v>
      </c>
      <c r="AG17" s="10">
        <v>340.1</v>
      </c>
      <c r="AH17" s="10">
        <v>107.2</v>
      </c>
      <c r="AI17" s="8" t="s">
        <v>175</v>
      </c>
      <c r="AJ17" s="8" t="s">
        <v>176</v>
      </c>
      <c r="AK17" s="8" t="s">
        <v>155</v>
      </c>
      <c r="AL17" s="8" t="s">
        <v>177</v>
      </c>
    </row>
    <row r="18" spans="8:8" ht="18.75" customHeight="1">
      <c r="A18" s="2" t="s">
        <v>193</v>
      </c>
      <c r="B18" s="3" t="s">
        <v>167</v>
      </c>
      <c r="C18" s="3" t="s">
        <v>194</v>
      </c>
      <c r="D18" s="3" t="s">
        <v>101</v>
      </c>
      <c r="E18" s="3" t="s">
        <v>167</v>
      </c>
      <c r="F18" s="3" t="s">
        <v>195</v>
      </c>
      <c r="G18" s="3" t="s">
        <v>196</v>
      </c>
      <c r="H18" s="3" t="s">
        <v>120</v>
      </c>
      <c r="I18" s="4">
        <v>140.0</v>
      </c>
      <c r="J18" s="4">
        <v>860.0</v>
      </c>
      <c r="K18" s="5">
        <v>848.0</v>
      </c>
      <c r="L18" s="3" t="s">
        <v>171</v>
      </c>
      <c r="M18" s="3" t="s">
        <v>172</v>
      </c>
      <c r="N18" s="3" t="s">
        <v>197</v>
      </c>
      <c r="O18" s="4">
        <v>50.0</v>
      </c>
      <c r="P18" s="5">
        <v>678.4</v>
      </c>
      <c r="Q18" s="5">
        <v>101.8</v>
      </c>
      <c r="R18" s="6">
        <v>17.0</v>
      </c>
      <c r="S18" s="5">
        <v>50.8</v>
      </c>
      <c r="T18" s="3" t="s">
        <v>198</v>
      </c>
      <c r="U18" s="6">
        <v>16.5</v>
      </c>
      <c r="V18" s="6">
        <v>9.2</v>
      </c>
      <c r="W18" s="6">
        <f>U18-V18</f>
        <v>7.300000000000001</v>
      </c>
      <c r="X18" s="6">
        <v>3.5</v>
      </c>
      <c r="Y18" s="4">
        <v>2150.0</v>
      </c>
      <c r="Z18" s="5">
        <v>1773.8</v>
      </c>
      <c r="AA18" s="5">
        <v>82.5</v>
      </c>
      <c r="AB18" s="3" t="s">
        <v>106</v>
      </c>
      <c r="AC18" s="5">
        <v>586.0</v>
      </c>
      <c r="AD18" s="5">
        <v>233.8</v>
      </c>
      <c r="AE18" s="5">
        <f>AC18+AD18</f>
        <v>819.8</v>
      </c>
      <c r="AF18" s="5">
        <v>531.4</v>
      </c>
      <c r="AG18" s="5">
        <v>269.0</v>
      </c>
      <c r="AH18" s="5">
        <v>82.4</v>
      </c>
      <c r="AI18" s="3" t="s">
        <v>175</v>
      </c>
      <c r="AJ18" s="3" t="s">
        <v>176</v>
      </c>
      <c r="AK18" s="3" t="s">
        <v>155</v>
      </c>
      <c r="AL18" s="3" t="s">
        <v>177</v>
      </c>
    </row>
    <row r="19" spans="8:8" ht="18.75" customHeight="1">
      <c r="A19" s="7" t="s">
        <v>199</v>
      </c>
      <c r="B19" s="8" t="s">
        <v>167</v>
      </c>
      <c r="C19" s="8" t="s">
        <v>200</v>
      </c>
      <c r="D19" s="8" t="s">
        <v>101</v>
      </c>
      <c r="E19" s="8" t="s">
        <v>167</v>
      </c>
      <c r="F19" s="8" t="s">
        <v>201</v>
      </c>
      <c r="G19" s="8" t="s">
        <v>202</v>
      </c>
      <c r="H19" s="8" t="s">
        <v>120</v>
      </c>
      <c r="I19" s="9">
        <v>130.0</v>
      </c>
      <c r="J19" s="9">
        <v>745.0</v>
      </c>
      <c r="K19" s="10">
        <v>738.5</v>
      </c>
      <c r="L19" s="8" t="s">
        <v>132</v>
      </c>
      <c r="M19" s="8" t="s">
        <v>47</v>
      </c>
      <c r="N19" s="8" t="s">
        <v>134</v>
      </c>
      <c r="O19" s="9">
        <v>44.0</v>
      </c>
      <c r="P19" s="10">
        <v>546.5</v>
      </c>
      <c r="Q19" s="10">
        <v>132.9</v>
      </c>
      <c r="R19" s="11">
        <v>14.8</v>
      </c>
      <c r="S19" s="11">
        <v>44.3</v>
      </c>
      <c r="T19" s="8" t="s">
        <v>203</v>
      </c>
      <c r="U19" s="11">
        <v>13.8</v>
      </c>
      <c r="V19" s="11">
        <v>6.9</v>
      </c>
      <c r="W19" s="11">
        <f>U19-V19</f>
        <v>6.9</v>
      </c>
      <c r="X19" s="11">
        <v>3.8</v>
      </c>
      <c r="Y19" s="9">
        <v>2400.0</v>
      </c>
      <c r="Z19" s="10">
        <v>1704.0</v>
      </c>
      <c r="AA19" s="10">
        <v>71.0</v>
      </c>
      <c r="AB19" s="8" t="s">
        <v>106</v>
      </c>
      <c r="AC19" s="10">
        <v>513.4</v>
      </c>
      <c r="AD19" s="10">
        <v>239.9</v>
      </c>
      <c r="AE19" s="10">
        <f>AC19+AD19</f>
        <v>753.3</v>
      </c>
      <c r="AF19" s="10">
        <v>443.6</v>
      </c>
      <c r="AG19" s="10">
        <v>289.3</v>
      </c>
      <c r="AH19" s="10">
        <v>79.0</v>
      </c>
      <c r="AI19" s="8" t="s">
        <v>153</v>
      </c>
      <c r="AJ19" s="8" t="s">
        <v>154</v>
      </c>
      <c r="AK19" s="8" t="s">
        <v>155</v>
      </c>
      <c r="AL19" s="8" t="s">
        <v>156</v>
      </c>
    </row>
    <row r="20" spans="8:8" ht="18.75" customHeight="1">
      <c r="A20" s="2" t="s">
        <v>204</v>
      </c>
      <c r="B20" s="3" t="s">
        <v>167</v>
      </c>
      <c r="C20" s="3" t="s">
        <v>205</v>
      </c>
      <c r="D20" s="3" t="s">
        <v>101</v>
      </c>
      <c r="E20" s="3" t="s">
        <v>167</v>
      </c>
      <c r="F20" s="3" t="s">
        <v>206</v>
      </c>
      <c r="G20" s="3" t="s">
        <v>207</v>
      </c>
      <c r="H20" s="3" t="s">
        <v>189</v>
      </c>
      <c r="I20" s="4">
        <v>125.0</v>
      </c>
      <c r="J20" s="4">
        <v>665.0</v>
      </c>
      <c r="K20" s="5">
        <v>662.8</v>
      </c>
      <c r="L20" s="3" t="s">
        <v>132</v>
      </c>
      <c r="M20" s="3" t="s">
        <v>47</v>
      </c>
      <c r="N20" s="3" t="s">
        <v>208</v>
      </c>
      <c r="O20" s="4">
        <v>40.0</v>
      </c>
      <c r="P20" s="5">
        <v>497.1</v>
      </c>
      <c r="Q20" s="5">
        <v>112.7</v>
      </c>
      <c r="R20" s="6">
        <v>13.3</v>
      </c>
      <c r="S20" s="6">
        <v>39.7</v>
      </c>
      <c r="T20" s="3" t="s">
        <v>209</v>
      </c>
      <c r="U20" s="6">
        <v>17.4</v>
      </c>
      <c r="V20" s="6">
        <v>10.5</v>
      </c>
      <c r="W20" s="6">
        <f>U20-V20</f>
        <v>6.899999999999999</v>
      </c>
      <c r="X20" s="6">
        <v>3.2</v>
      </c>
      <c r="Y20" s="4">
        <v>2050.0</v>
      </c>
      <c r="Z20" s="5">
        <v>1635.9</v>
      </c>
      <c r="AA20" s="5">
        <v>79.8</v>
      </c>
      <c r="AB20" s="3" t="s">
        <v>106</v>
      </c>
      <c r="AC20" s="5">
        <v>460.3</v>
      </c>
      <c r="AD20" s="5">
        <v>202.0</v>
      </c>
      <c r="AE20" s="5">
        <f>AC20+AD20</f>
        <v>662.3</v>
      </c>
      <c r="AF20" s="5">
        <v>398.6</v>
      </c>
      <c r="AG20" s="5">
        <v>220.5</v>
      </c>
      <c r="AH20" s="5">
        <v>68.2</v>
      </c>
      <c r="AI20" s="3" t="s">
        <v>153</v>
      </c>
      <c r="AJ20" s="3" t="s">
        <v>154</v>
      </c>
      <c r="AK20" s="3" t="s">
        <v>155</v>
      </c>
      <c r="AL20" s="3" t="s">
        <v>156</v>
      </c>
    </row>
    <row r="21" spans="8:8" ht="18.75" customHeight="1">
      <c r="A21" s="7" t="s">
        <v>210</v>
      </c>
      <c r="B21" s="8" t="s">
        <v>211</v>
      </c>
      <c r="C21" s="8" t="s">
        <v>212</v>
      </c>
      <c r="D21" s="8" t="s">
        <v>41</v>
      </c>
      <c r="E21" s="8" t="s">
        <v>213</v>
      </c>
      <c r="F21" s="8" t="s">
        <v>214</v>
      </c>
      <c r="G21" s="8" t="s">
        <v>215</v>
      </c>
      <c r="H21" s="8" t="s">
        <v>216</v>
      </c>
      <c r="I21" s="9">
        <v>145.0</v>
      </c>
      <c r="J21" s="9">
        <v>1105.0</v>
      </c>
      <c r="K21" s="10">
        <v>1107.2</v>
      </c>
      <c r="L21" s="8" t="s">
        <v>111</v>
      </c>
      <c r="M21" s="8" t="s">
        <v>217</v>
      </c>
      <c r="N21" s="8" t="s">
        <v>218</v>
      </c>
      <c r="O21" s="9">
        <v>68.0</v>
      </c>
      <c r="P21" s="10">
        <v>398.6</v>
      </c>
      <c r="Q21" s="10">
        <v>575.7</v>
      </c>
      <c r="R21" s="11">
        <v>44.3</v>
      </c>
      <c r="S21" s="10">
        <v>88.6</v>
      </c>
      <c r="T21" s="8" t="s">
        <v>219</v>
      </c>
      <c r="U21" s="11">
        <v>11.5</v>
      </c>
      <c r="V21" s="11">
        <v>5.2</v>
      </c>
      <c r="W21" s="11">
        <f>U21-V21</f>
        <v>6.3</v>
      </c>
      <c r="X21" s="11">
        <v>10.5</v>
      </c>
      <c r="Y21" s="9">
        <v>3850.0</v>
      </c>
      <c r="Z21" s="10">
        <v>3022.2</v>
      </c>
      <c r="AA21" s="10">
        <v>78.5</v>
      </c>
      <c r="AB21" s="8" t="s">
        <v>106</v>
      </c>
      <c r="AC21" s="10">
        <v>798.0</v>
      </c>
      <c r="AD21" s="10">
        <v>605.2</v>
      </c>
      <c r="AE21" s="10">
        <f>AC21+AD21</f>
        <v>1403.2</v>
      </c>
      <c r="AF21" s="10">
        <v>452.6</v>
      </c>
      <c r="AG21" s="10">
        <v>796.6</v>
      </c>
      <c r="AH21" s="10">
        <v>183.0</v>
      </c>
      <c r="AI21" s="8" t="s">
        <v>51</v>
      </c>
      <c r="AJ21" s="8" t="s">
        <v>52</v>
      </c>
      <c r="AK21" s="8" t="s">
        <v>53</v>
      </c>
      <c r="AL21" s="8" t="s">
        <v>54</v>
      </c>
    </row>
    <row r="22" spans="8:8" ht="18.75" customHeight="1">
      <c r="A22" s="2" t="s">
        <v>220</v>
      </c>
      <c r="B22" s="3" t="s">
        <v>211</v>
      </c>
      <c r="C22" s="3" t="s">
        <v>221</v>
      </c>
      <c r="D22" s="3" t="s">
        <v>101</v>
      </c>
      <c r="E22" s="3" t="s">
        <v>213</v>
      </c>
      <c r="F22" s="3" t="s">
        <v>222</v>
      </c>
      <c r="G22" s="3" t="s">
        <v>223</v>
      </c>
      <c r="H22" s="3" t="s">
        <v>120</v>
      </c>
      <c r="I22" s="4">
        <v>125.0</v>
      </c>
      <c r="J22" s="4">
        <v>845.0</v>
      </c>
      <c r="K22" s="5">
        <v>840.5</v>
      </c>
      <c r="L22" s="3" t="s">
        <v>224</v>
      </c>
      <c r="M22" s="3" t="s">
        <v>225</v>
      </c>
      <c r="N22" s="3" t="s">
        <v>113</v>
      </c>
      <c r="O22" s="4">
        <v>49.0</v>
      </c>
      <c r="P22" s="5">
        <v>378.2</v>
      </c>
      <c r="Q22" s="5">
        <v>319.4</v>
      </c>
      <c r="R22" s="6">
        <v>25.2</v>
      </c>
      <c r="S22" s="5">
        <v>117.7</v>
      </c>
      <c r="T22" s="3" t="s">
        <v>226</v>
      </c>
      <c r="U22" s="6">
        <v>21.8</v>
      </c>
      <c r="V22" s="6">
        <v>14.5</v>
      </c>
      <c r="W22" s="6">
        <f>U22-V22</f>
        <v>7.300000000000001</v>
      </c>
      <c r="X22" s="6">
        <v>3.0</v>
      </c>
      <c r="Y22" s="4">
        <v>1980.0</v>
      </c>
      <c r="Z22" s="5">
        <v>1908.7</v>
      </c>
      <c r="AA22" s="5">
        <v>96.4</v>
      </c>
      <c r="AB22" s="3" t="s">
        <v>147</v>
      </c>
      <c r="AC22" s="5">
        <v>598.0</v>
      </c>
      <c r="AD22" s="5">
        <v>147.0</v>
      </c>
      <c r="AE22" s="5">
        <f>AC22+AD22</f>
        <v>745.0</v>
      </c>
      <c r="AF22" s="5">
        <v>301.3</v>
      </c>
      <c r="AG22" s="5">
        <v>356.9</v>
      </c>
      <c r="AH22" s="5">
        <v>111.8</v>
      </c>
      <c r="AI22" s="3" t="s">
        <v>227</v>
      </c>
      <c r="AJ22" s="3" t="s">
        <v>228</v>
      </c>
      <c r="AK22" s="3" t="s">
        <v>229</v>
      </c>
      <c r="AL22" s="3" t="s">
        <v>230</v>
      </c>
    </row>
    <row r="23" spans="8:8" ht="18.75" customHeight="1">
      <c r="A23" s="7" t="s">
        <v>231</v>
      </c>
      <c r="B23" s="8" t="s">
        <v>211</v>
      </c>
      <c r="C23" s="8" t="s">
        <v>232</v>
      </c>
      <c r="D23" s="8" t="s">
        <v>101</v>
      </c>
      <c r="E23" s="8" t="s">
        <v>213</v>
      </c>
      <c r="F23" s="8" t="s">
        <v>233</v>
      </c>
      <c r="G23" s="8" t="s">
        <v>234</v>
      </c>
      <c r="H23" s="8" t="s">
        <v>189</v>
      </c>
      <c r="I23" s="9">
        <v>140.0</v>
      </c>
      <c r="J23" s="9">
        <v>690.0</v>
      </c>
      <c r="K23" s="10">
        <v>690.0</v>
      </c>
      <c r="L23" s="8" t="s">
        <v>235</v>
      </c>
      <c r="M23" s="8" t="s">
        <v>236</v>
      </c>
      <c r="N23" s="8" t="s">
        <v>113</v>
      </c>
      <c r="O23" s="9">
        <v>41.0</v>
      </c>
      <c r="P23" s="10">
        <v>220.8</v>
      </c>
      <c r="Q23" s="10">
        <v>331.2</v>
      </c>
      <c r="R23" s="11">
        <v>27.6</v>
      </c>
      <c r="S23" s="10">
        <v>110.4</v>
      </c>
      <c r="T23" s="8" t="s">
        <v>237</v>
      </c>
      <c r="U23" s="11">
        <v>24.5</v>
      </c>
      <c r="V23" s="11">
        <v>16.8</v>
      </c>
      <c r="W23" s="11">
        <f>U23-V23</f>
        <v>7.699999999999999</v>
      </c>
      <c r="X23" s="11">
        <v>3.2</v>
      </c>
      <c r="Y23" s="9">
        <v>2240.0</v>
      </c>
      <c r="Z23" s="10">
        <v>2334.1</v>
      </c>
      <c r="AA23" s="10">
        <v>104.2</v>
      </c>
      <c r="AB23" s="8" t="s">
        <v>238</v>
      </c>
      <c r="AC23" s="10">
        <v>496.5</v>
      </c>
      <c r="AD23" s="10">
        <v>105.2</v>
      </c>
      <c r="AE23" s="10">
        <f>AC23+AD23</f>
        <v>601.7</v>
      </c>
      <c r="AF23" s="10">
        <v>181.7</v>
      </c>
      <c r="AG23" s="10">
        <v>349.7</v>
      </c>
      <c r="AH23" s="10">
        <v>98.3</v>
      </c>
      <c r="AI23" s="8" t="s">
        <v>153</v>
      </c>
      <c r="AJ23" s="8" t="s">
        <v>154</v>
      </c>
      <c r="AK23" s="8" t="s">
        <v>155</v>
      </c>
      <c r="AL23" s="8" t="s">
        <v>156</v>
      </c>
    </row>
    <row r="24" spans="8:8" ht="18.75" customHeight="1">
      <c r="A24" s="2" t="s">
        <v>239</v>
      </c>
      <c r="B24" s="3" t="s">
        <v>211</v>
      </c>
      <c r="C24" s="3" t="s">
        <v>240</v>
      </c>
      <c r="D24" s="3" t="s">
        <v>41</v>
      </c>
      <c r="E24" s="3" t="s">
        <v>213</v>
      </c>
      <c r="F24" s="3" t="s">
        <v>241</v>
      </c>
      <c r="G24" s="3" t="s">
        <v>242</v>
      </c>
      <c r="H24" s="3" t="s">
        <v>243</v>
      </c>
      <c r="I24" s="4">
        <v>190.0</v>
      </c>
      <c r="J24" s="4">
        <v>1025.0</v>
      </c>
      <c r="K24" s="5">
        <v>1017.5</v>
      </c>
      <c r="L24" s="3" t="s">
        <v>111</v>
      </c>
      <c r="M24" s="3" t="s">
        <v>217</v>
      </c>
      <c r="N24" s="3" t="s">
        <v>218</v>
      </c>
      <c r="O24" s="4">
        <v>63.0</v>
      </c>
      <c r="P24" s="5">
        <v>305.2</v>
      </c>
      <c r="Q24" s="5">
        <v>590.1</v>
      </c>
      <c r="R24" s="5">
        <v>50.9</v>
      </c>
      <c r="S24" s="5">
        <v>71.3</v>
      </c>
      <c r="T24" s="3" t="s">
        <v>244</v>
      </c>
      <c r="U24" s="6">
        <v>8.2</v>
      </c>
      <c r="V24" s="6">
        <v>3.4</v>
      </c>
      <c r="W24" s="6">
        <f>U24-V24</f>
        <v>4.799999999999999</v>
      </c>
      <c r="X24" s="6">
        <v>12.0</v>
      </c>
      <c r="Y24" s="4">
        <v>3420.0</v>
      </c>
      <c r="Z24" s="5">
        <v>2872.8</v>
      </c>
      <c r="AA24" s="5">
        <v>84.0</v>
      </c>
      <c r="AB24" s="3" t="s">
        <v>106</v>
      </c>
      <c r="AC24" s="5">
        <v>738.2</v>
      </c>
      <c r="AD24" s="5">
        <v>527.0</v>
      </c>
      <c r="AE24" s="5">
        <f>AC24+AD24</f>
        <v>1265.2</v>
      </c>
      <c r="AF24" s="5">
        <v>365.6</v>
      </c>
      <c r="AG24" s="5">
        <v>782.3</v>
      </c>
      <c r="AH24" s="5">
        <v>155.3</v>
      </c>
      <c r="AI24" s="3" t="s">
        <v>245</v>
      </c>
      <c r="AJ24" s="3" t="s">
        <v>246</v>
      </c>
      <c r="AK24" s="3" t="s">
        <v>85</v>
      </c>
      <c r="AL24" s="3" t="s">
        <v>247</v>
      </c>
    </row>
    <row r="25" spans="8:8" ht="18.75" customHeight="1">
      <c r="A25" s="7" t="s">
        <v>248</v>
      </c>
      <c r="B25" s="8" t="s">
        <v>211</v>
      </c>
      <c r="C25" s="8" t="s">
        <v>249</v>
      </c>
      <c r="D25" s="8" t="s">
        <v>41</v>
      </c>
      <c r="E25" s="8" t="s">
        <v>213</v>
      </c>
      <c r="F25" s="8" t="s">
        <v>250</v>
      </c>
      <c r="G25" s="8" t="s">
        <v>251</v>
      </c>
      <c r="H25" s="8" t="s">
        <v>131</v>
      </c>
      <c r="I25" s="9">
        <v>145.0</v>
      </c>
      <c r="J25" s="9">
        <v>815.0</v>
      </c>
      <c r="K25" s="10">
        <v>803.1</v>
      </c>
      <c r="L25" s="8" t="s">
        <v>111</v>
      </c>
      <c r="M25" s="8" t="s">
        <v>217</v>
      </c>
      <c r="N25" s="8" t="s">
        <v>218</v>
      </c>
      <c r="O25" s="9">
        <v>47.0</v>
      </c>
      <c r="P25" s="10">
        <v>200.8</v>
      </c>
      <c r="Q25" s="10">
        <v>449.7</v>
      </c>
      <c r="R25" s="11">
        <v>40.2</v>
      </c>
      <c r="S25" s="10">
        <v>112.4</v>
      </c>
      <c r="T25" s="8" t="s">
        <v>252</v>
      </c>
      <c r="U25" s="11">
        <v>12.6</v>
      </c>
      <c r="V25" s="11">
        <v>6.8</v>
      </c>
      <c r="W25" s="11">
        <f>U25-V25</f>
        <v>5.8</v>
      </c>
      <c r="X25" s="11">
        <v>4.5</v>
      </c>
      <c r="Y25" s="9">
        <v>2650.0</v>
      </c>
      <c r="Z25" s="10">
        <v>1921.2</v>
      </c>
      <c r="AA25" s="10">
        <v>72.5</v>
      </c>
      <c r="AB25" s="8" t="s">
        <v>106</v>
      </c>
      <c r="AC25" s="10">
        <v>582.6</v>
      </c>
      <c r="AD25" s="10">
        <v>238.8</v>
      </c>
      <c r="AE25" s="10">
        <f>AC25+AD25</f>
        <v>821.4000000000001</v>
      </c>
      <c r="AF25" s="10">
        <v>208.1</v>
      </c>
      <c r="AG25" s="10">
        <v>515.8</v>
      </c>
      <c r="AH25" s="10">
        <v>126.5</v>
      </c>
      <c r="AI25" s="8" t="s">
        <v>175</v>
      </c>
      <c r="AJ25" s="8" t="s">
        <v>176</v>
      </c>
      <c r="AK25" s="8" t="s">
        <v>155</v>
      </c>
      <c r="AL25" s="8" t="s">
        <v>177</v>
      </c>
    </row>
    <row r="26" spans="8:8" ht="18.75" customHeight="1">
      <c r="A26" s="2" t="s">
        <v>253</v>
      </c>
      <c r="B26" s="3" t="s">
        <v>211</v>
      </c>
      <c r="C26" s="3" t="s">
        <v>254</v>
      </c>
      <c r="D26" s="3" t="s">
        <v>255</v>
      </c>
      <c r="E26" s="3" t="s">
        <v>213</v>
      </c>
      <c r="F26" s="3" t="s">
        <v>256</v>
      </c>
      <c r="G26" s="3" t="s">
        <v>257</v>
      </c>
      <c r="H26" s="3" t="s">
        <v>258</v>
      </c>
      <c r="I26" s="4">
        <v>160.0</v>
      </c>
      <c r="J26" s="4">
        <v>1420.0</v>
      </c>
      <c r="K26" s="5">
        <v>1406.7</v>
      </c>
      <c r="L26" s="3" t="s">
        <v>259</v>
      </c>
      <c r="M26" s="3" t="s">
        <v>260</v>
      </c>
      <c r="N26" s="3" t="s">
        <v>261</v>
      </c>
      <c r="O26" s="4">
        <v>84.0</v>
      </c>
      <c r="P26" s="5">
        <v>590.8</v>
      </c>
      <c r="Q26" s="5">
        <v>534.5</v>
      </c>
      <c r="R26" s="5">
        <v>56.3</v>
      </c>
      <c r="S26" s="5">
        <v>225.1</v>
      </c>
      <c r="T26" s="3" t="s">
        <v>262</v>
      </c>
      <c r="U26" s="6">
        <v>6.5</v>
      </c>
      <c r="V26" s="6">
        <v>2.8</v>
      </c>
      <c r="W26" s="6">
        <f>U26-V26</f>
        <v>3.7</v>
      </c>
      <c r="X26" s="6">
        <v>6.0</v>
      </c>
      <c r="Y26" s="4">
        <v>680.0</v>
      </c>
      <c r="Z26" s="5">
        <v>299.2</v>
      </c>
      <c r="AA26" s="6">
        <v>44.0</v>
      </c>
      <c r="AB26" s="3" t="s">
        <v>50</v>
      </c>
      <c r="AC26" s="5">
        <v>1002.4</v>
      </c>
      <c r="AD26" s="5">
        <v>243.7</v>
      </c>
      <c r="AE26" s="5">
        <f>AC26+AD26</f>
        <v>1246.1</v>
      </c>
      <c r="AF26" s="5">
        <v>474.8</v>
      </c>
      <c r="AG26" s="5">
        <v>636.9</v>
      </c>
      <c r="AH26" s="5">
        <v>206.3</v>
      </c>
      <c r="AI26" s="3" t="s">
        <v>61</v>
      </c>
      <c r="AJ26" s="3" t="s">
        <v>62</v>
      </c>
      <c r="AK26" s="3" t="s">
        <v>63</v>
      </c>
      <c r="AL26" s="3" t="s">
        <v>64</v>
      </c>
    </row>
    <row r="27" spans="8:8" ht="18.75" customHeight="1">
      <c r="A27" s="7" t="s">
        <v>263</v>
      </c>
      <c r="B27" s="8" t="s">
        <v>211</v>
      </c>
      <c r="C27" s="8" t="s">
        <v>264</v>
      </c>
      <c r="D27" s="8" t="s">
        <v>255</v>
      </c>
      <c r="E27" s="8" t="s">
        <v>213</v>
      </c>
      <c r="F27" s="8" t="s">
        <v>265</v>
      </c>
      <c r="G27" s="8" t="s">
        <v>266</v>
      </c>
      <c r="H27" s="8" t="s">
        <v>161</v>
      </c>
      <c r="I27" s="9">
        <v>175.0</v>
      </c>
      <c r="J27" s="9">
        <v>1780.0</v>
      </c>
      <c r="K27" s="10">
        <v>1772.9</v>
      </c>
      <c r="L27" s="8" t="s">
        <v>46</v>
      </c>
      <c r="M27" s="8" t="s">
        <v>260</v>
      </c>
      <c r="N27" s="8" t="s">
        <v>267</v>
      </c>
      <c r="O27" s="9">
        <v>104.0</v>
      </c>
      <c r="P27" s="10">
        <v>957.4</v>
      </c>
      <c r="Q27" s="10">
        <v>531.9</v>
      </c>
      <c r="R27" s="10">
        <v>70.9</v>
      </c>
      <c r="S27" s="10">
        <v>212.7</v>
      </c>
      <c r="T27" s="8" t="s">
        <v>268</v>
      </c>
      <c r="U27" s="11">
        <v>5.4</v>
      </c>
      <c r="V27" s="11">
        <v>2.1</v>
      </c>
      <c r="W27" s="11">
        <f>U27-V27</f>
        <v>3.3000000000000003</v>
      </c>
      <c r="X27" s="11">
        <v>4.0</v>
      </c>
      <c r="Y27" s="9">
        <v>520.0</v>
      </c>
      <c r="Z27" s="10">
        <v>148.2</v>
      </c>
      <c r="AA27" s="11">
        <v>28.5</v>
      </c>
      <c r="AB27" s="8" t="s">
        <v>50</v>
      </c>
      <c r="AC27" s="10">
        <v>1252.0</v>
      </c>
      <c r="AD27" s="10">
        <v>144.9</v>
      </c>
      <c r="AE27" s="10">
        <f>AC27+AD27</f>
        <v>1396.9</v>
      </c>
      <c r="AF27" s="10">
        <v>694.5</v>
      </c>
      <c r="AG27" s="10">
        <v>603.4</v>
      </c>
      <c r="AH27" s="10">
        <v>177.9</v>
      </c>
      <c r="AI27" s="8" t="s">
        <v>269</v>
      </c>
      <c r="AJ27" s="8" t="s">
        <v>270</v>
      </c>
      <c r="AK27" s="8" t="s">
        <v>63</v>
      </c>
      <c r="AL27" s="8" t="s">
        <v>271</v>
      </c>
    </row>
    <row r="28" spans="8:8" ht="18.75" customHeight="1">
      <c r="A28" s="2" t="s">
        <v>272</v>
      </c>
      <c r="B28" s="3" t="s">
        <v>273</v>
      </c>
      <c r="C28" s="3" t="s">
        <v>274</v>
      </c>
      <c r="D28" s="3" t="s">
        <v>101</v>
      </c>
      <c r="E28" s="3" t="s">
        <v>275</v>
      </c>
      <c r="F28" s="3" t="s">
        <v>276</v>
      </c>
      <c r="G28" s="3" t="s">
        <v>277</v>
      </c>
      <c r="H28" s="3" t="s">
        <v>278</v>
      </c>
      <c r="I28" s="4">
        <v>160.0</v>
      </c>
      <c r="J28" s="4">
        <v>865.0</v>
      </c>
      <c r="K28" s="5">
        <v>855.2</v>
      </c>
      <c r="L28" s="3" t="s">
        <v>171</v>
      </c>
      <c r="M28" s="3" t="s">
        <v>279</v>
      </c>
      <c r="N28" s="3" t="s">
        <v>183</v>
      </c>
      <c r="O28" s="4">
        <v>50.0</v>
      </c>
      <c r="P28" s="5">
        <v>701.3</v>
      </c>
      <c r="Q28" s="5">
        <v>94.1</v>
      </c>
      <c r="R28" s="6">
        <v>8.6</v>
      </c>
      <c r="S28" s="5">
        <v>51.2</v>
      </c>
      <c r="T28" s="3" t="s">
        <v>280</v>
      </c>
      <c r="U28" s="6">
        <v>12.4</v>
      </c>
      <c r="V28" s="6">
        <v>5.8</v>
      </c>
      <c r="W28" s="6">
        <f>U28-V28</f>
        <v>6.6000000000000005</v>
      </c>
      <c r="X28" s="6">
        <v>4.5</v>
      </c>
      <c r="Y28" s="4">
        <v>980.0</v>
      </c>
      <c r="Z28" s="5">
        <v>627.2</v>
      </c>
      <c r="AA28" s="5">
        <v>64.0</v>
      </c>
      <c r="AB28" s="3" t="s">
        <v>50</v>
      </c>
      <c r="AC28" s="5">
        <v>589.7</v>
      </c>
      <c r="AD28" s="5">
        <v>326.1</v>
      </c>
      <c r="AE28" s="5">
        <f>AC28+AD28</f>
        <v>915.8000000000001</v>
      </c>
      <c r="AF28" s="5">
        <v>574.7</v>
      </c>
      <c r="AG28" s="5">
        <v>312.1</v>
      </c>
      <c r="AH28" s="5">
        <v>101.0</v>
      </c>
      <c r="AI28" s="3" t="s">
        <v>175</v>
      </c>
      <c r="AJ28" s="3" t="s">
        <v>176</v>
      </c>
      <c r="AK28" s="3" t="s">
        <v>155</v>
      </c>
      <c r="AL28" s="3" t="s">
        <v>177</v>
      </c>
    </row>
    <row r="29" spans="8:8" ht="18.75" customHeight="1">
      <c r="A29" s="7" t="s">
        <v>281</v>
      </c>
      <c r="B29" s="8" t="s">
        <v>273</v>
      </c>
      <c r="C29" s="8" t="s">
        <v>282</v>
      </c>
      <c r="D29" s="8" t="s">
        <v>101</v>
      </c>
      <c r="E29" s="8" t="s">
        <v>275</v>
      </c>
      <c r="F29" s="8" t="s">
        <v>283</v>
      </c>
      <c r="G29" s="8" t="s">
        <v>284</v>
      </c>
      <c r="H29" s="8" t="s">
        <v>182</v>
      </c>
      <c r="I29" s="9">
        <v>185.0</v>
      </c>
      <c r="J29" s="9">
        <v>685.0</v>
      </c>
      <c r="K29" s="10">
        <v>680.9</v>
      </c>
      <c r="L29" s="8" t="s">
        <v>132</v>
      </c>
      <c r="M29" s="8" t="s">
        <v>47</v>
      </c>
      <c r="N29" s="8" t="s">
        <v>236</v>
      </c>
      <c r="O29" s="9">
        <v>41.0</v>
      </c>
      <c r="P29" s="10">
        <v>517.5</v>
      </c>
      <c r="Q29" s="10">
        <v>108.9</v>
      </c>
      <c r="R29" s="11">
        <v>6.8</v>
      </c>
      <c r="S29" s="11">
        <v>47.7</v>
      </c>
      <c r="T29" s="8" t="s">
        <v>285</v>
      </c>
      <c r="U29" s="11">
        <v>13.8</v>
      </c>
      <c r="V29" s="11">
        <v>7.4</v>
      </c>
      <c r="W29" s="11">
        <f>U29-V29</f>
        <v>6.4</v>
      </c>
      <c r="X29" s="11">
        <v>4.0</v>
      </c>
      <c r="Y29" s="9">
        <v>1890.0</v>
      </c>
      <c r="Z29" s="10">
        <v>1313.5</v>
      </c>
      <c r="AA29" s="10">
        <v>69.5</v>
      </c>
      <c r="AB29" s="8" t="s">
        <v>50</v>
      </c>
      <c r="AC29" s="10">
        <v>472.1</v>
      </c>
      <c r="AD29" s="10">
        <v>281.1</v>
      </c>
      <c r="AE29" s="10">
        <f>AC29+AD29</f>
        <v>753.2</v>
      </c>
      <c r="AF29" s="10">
        <v>436.2</v>
      </c>
      <c r="AG29" s="10">
        <v>310.6</v>
      </c>
      <c r="AH29" s="10">
        <v>89.6</v>
      </c>
      <c r="AI29" s="8" t="s">
        <v>153</v>
      </c>
      <c r="AJ29" s="8" t="s">
        <v>154</v>
      </c>
      <c r="AK29" s="8" t="s">
        <v>155</v>
      </c>
      <c r="AL29" s="8" t="s">
        <v>156</v>
      </c>
    </row>
    <row r="30" spans="8:8" ht="18.75" customHeight="1">
      <c r="A30" s="2" t="s">
        <v>286</v>
      </c>
      <c r="B30" s="3" t="s">
        <v>273</v>
      </c>
      <c r="C30" s="3" t="s">
        <v>287</v>
      </c>
      <c r="D30" s="3" t="s">
        <v>101</v>
      </c>
      <c r="E30" s="3" t="s">
        <v>275</v>
      </c>
      <c r="F30" s="3" t="s">
        <v>288</v>
      </c>
      <c r="G30" s="3" t="s">
        <v>289</v>
      </c>
      <c r="H30" s="3" t="s">
        <v>131</v>
      </c>
      <c r="I30" s="4">
        <v>175.0</v>
      </c>
      <c r="J30" s="4">
        <v>585.0</v>
      </c>
      <c r="K30" s="5">
        <v>586.5</v>
      </c>
      <c r="L30" s="3" t="s">
        <v>290</v>
      </c>
      <c r="M30" s="3" t="s">
        <v>190</v>
      </c>
      <c r="N30" s="3" t="s">
        <v>291</v>
      </c>
      <c r="O30" s="4">
        <v>36.0</v>
      </c>
      <c r="P30" s="5">
        <v>381.2</v>
      </c>
      <c r="Q30" s="5">
        <v>129.0</v>
      </c>
      <c r="R30" s="6">
        <v>5.9</v>
      </c>
      <c r="S30" s="5">
        <v>70.4</v>
      </c>
      <c r="T30" s="3" t="s">
        <v>292</v>
      </c>
      <c r="U30" s="6">
        <v>18.2</v>
      </c>
      <c r="V30" s="6">
        <v>11.5</v>
      </c>
      <c r="W30" s="6">
        <f>U30-V30</f>
        <v>6.699999999999999</v>
      </c>
      <c r="X30" s="6">
        <v>3.5</v>
      </c>
      <c r="Y30" s="4">
        <v>2950.0</v>
      </c>
      <c r="Z30" s="5">
        <v>2548.8</v>
      </c>
      <c r="AA30" s="5">
        <v>86.4</v>
      </c>
      <c r="AB30" s="3" t="s">
        <v>106</v>
      </c>
      <c r="AC30" s="5">
        <v>409.7</v>
      </c>
      <c r="AD30" s="5">
        <v>214.6</v>
      </c>
      <c r="AE30" s="5">
        <f>AC30+AD30</f>
        <v>624.3</v>
      </c>
      <c r="AF30" s="5">
        <v>323.6</v>
      </c>
      <c r="AG30" s="5">
        <v>243.5</v>
      </c>
      <c r="AH30" s="5">
        <v>92.2</v>
      </c>
      <c r="AI30" s="3" t="s">
        <v>136</v>
      </c>
      <c r="AJ30" s="3" t="s">
        <v>137</v>
      </c>
      <c r="AK30" s="3" t="s">
        <v>75</v>
      </c>
      <c r="AL30" s="3" t="s">
        <v>138</v>
      </c>
    </row>
    <row r="31" spans="8:8" ht="18.75" customHeight="1">
      <c r="A31" s="7" t="s">
        <v>293</v>
      </c>
      <c r="B31" s="8" t="s">
        <v>273</v>
      </c>
      <c r="C31" s="8" t="s">
        <v>294</v>
      </c>
      <c r="D31" s="8" t="s">
        <v>101</v>
      </c>
      <c r="E31" s="8" t="s">
        <v>295</v>
      </c>
      <c r="F31" s="8" t="s">
        <v>296</v>
      </c>
      <c r="G31" s="8" t="s">
        <v>297</v>
      </c>
      <c r="H31" s="8" t="s">
        <v>189</v>
      </c>
      <c r="I31" s="9">
        <v>125.0</v>
      </c>
      <c r="J31" s="9">
        <v>610.0</v>
      </c>
      <c r="K31" s="10">
        <v>605.1</v>
      </c>
      <c r="L31" s="8" t="s">
        <v>298</v>
      </c>
      <c r="M31" s="8" t="s">
        <v>163</v>
      </c>
      <c r="N31" s="8" t="s">
        <v>299</v>
      </c>
      <c r="O31" s="9">
        <v>37.0</v>
      </c>
      <c r="P31" s="10">
        <v>338.9</v>
      </c>
      <c r="Q31" s="10">
        <v>157.3</v>
      </c>
      <c r="R31" s="11">
        <v>6.1</v>
      </c>
      <c r="S31" s="10">
        <v>102.8</v>
      </c>
      <c r="T31" s="8" t="s">
        <v>300</v>
      </c>
      <c r="U31" s="11">
        <v>23.5</v>
      </c>
      <c r="V31" s="11">
        <v>16.2</v>
      </c>
      <c r="W31" s="11">
        <f>U31-V31</f>
        <v>7.300000000000001</v>
      </c>
      <c r="X31" s="11">
        <v>3.0</v>
      </c>
      <c r="Y31" s="9">
        <v>2120.0</v>
      </c>
      <c r="Z31" s="10">
        <v>2081.8</v>
      </c>
      <c r="AA31" s="10">
        <v>98.2</v>
      </c>
      <c r="AB31" s="8" t="s">
        <v>147</v>
      </c>
      <c r="AC31" s="10">
        <v>425.1</v>
      </c>
      <c r="AD31" s="10">
        <v>147.0</v>
      </c>
      <c r="AE31" s="10">
        <f>AC31+AD31</f>
        <v>572.1</v>
      </c>
      <c r="AF31" s="10">
        <v>274.6</v>
      </c>
      <c r="AG31" s="10">
        <v>221.1</v>
      </c>
      <c r="AH31" s="10">
        <v>101.4</v>
      </c>
      <c r="AI31" s="8" t="s">
        <v>153</v>
      </c>
      <c r="AJ31" s="8" t="s">
        <v>154</v>
      </c>
      <c r="AK31" s="8" t="s">
        <v>155</v>
      </c>
      <c r="AL31" s="8" t="s">
        <v>156</v>
      </c>
    </row>
    <row r="32" spans="8:8" ht="18.75" customHeight="1">
      <c r="A32" s="2" t="s">
        <v>301</v>
      </c>
      <c r="B32" s="3" t="s">
        <v>273</v>
      </c>
      <c r="C32" s="3" t="s">
        <v>302</v>
      </c>
      <c r="D32" s="3" t="s">
        <v>101</v>
      </c>
      <c r="E32" s="3" t="s">
        <v>295</v>
      </c>
      <c r="F32" s="3" t="s">
        <v>303</v>
      </c>
      <c r="G32" s="3" t="s">
        <v>304</v>
      </c>
      <c r="H32" s="3" t="s">
        <v>305</v>
      </c>
      <c r="I32" s="4">
        <v>130.0</v>
      </c>
      <c r="J32" s="4">
        <v>765.0</v>
      </c>
      <c r="K32" s="5">
        <v>763.0</v>
      </c>
      <c r="L32" s="3" t="s">
        <v>306</v>
      </c>
      <c r="M32" s="3" t="s">
        <v>307</v>
      </c>
      <c r="N32" s="3" t="s">
        <v>145</v>
      </c>
      <c r="O32" s="4">
        <v>45.0</v>
      </c>
      <c r="P32" s="5">
        <v>412.0</v>
      </c>
      <c r="Q32" s="5">
        <v>213.6</v>
      </c>
      <c r="R32" s="6">
        <v>15.3</v>
      </c>
      <c r="S32" s="5">
        <v>122.1</v>
      </c>
      <c r="T32" s="3" t="s">
        <v>308</v>
      </c>
      <c r="U32" s="6">
        <v>28.4</v>
      </c>
      <c r="V32" s="6">
        <v>21.0</v>
      </c>
      <c r="W32" s="6">
        <f>U32-V32</f>
        <v>7.399999999999999</v>
      </c>
      <c r="X32" s="6">
        <v>2.8</v>
      </c>
      <c r="Y32" s="4">
        <v>1780.0</v>
      </c>
      <c r="Z32" s="5">
        <v>2109.3</v>
      </c>
      <c r="AA32" s="5">
        <v>118.5</v>
      </c>
      <c r="AB32" s="3" t="s">
        <v>238</v>
      </c>
      <c r="AC32" s="5">
        <v>537.4</v>
      </c>
      <c r="AD32" s="5">
        <v>88.5</v>
      </c>
      <c r="AE32" s="5">
        <f>AC32+AD32</f>
        <v>625.9</v>
      </c>
      <c r="AF32" s="5">
        <v>306.8</v>
      </c>
      <c r="AG32" s="5">
        <v>241.9</v>
      </c>
      <c r="AH32" s="5">
        <v>103.2</v>
      </c>
      <c r="AI32" s="3" t="s">
        <v>309</v>
      </c>
      <c r="AJ32" s="3" t="s">
        <v>310</v>
      </c>
      <c r="AK32" s="3" t="s">
        <v>63</v>
      </c>
      <c r="AL32" s="3" t="s">
        <v>311</v>
      </c>
    </row>
    <row r="33" spans="8:8" ht="18.75" customHeight="1">
      <c r="A33" s="7" t="s">
        <v>312</v>
      </c>
      <c r="B33" s="8" t="s">
        <v>273</v>
      </c>
      <c r="C33" s="8" t="s">
        <v>313</v>
      </c>
      <c r="D33" s="8" t="s">
        <v>101</v>
      </c>
      <c r="E33" s="8" t="s">
        <v>295</v>
      </c>
      <c r="F33" s="8" t="s">
        <v>314</v>
      </c>
      <c r="G33" s="8" t="s">
        <v>315</v>
      </c>
      <c r="H33" s="8" t="s">
        <v>120</v>
      </c>
      <c r="I33" s="9">
        <v>145.0</v>
      </c>
      <c r="J33" s="9">
        <v>735.0</v>
      </c>
      <c r="K33" s="10">
        <v>737.0</v>
      </c>
      <c r="L33" s="8" t="s">
        <v>316</v>
      </c>
      <c r="M33" s="8" t="s">
        <v>317</v>
      </c>
      <c r="N33" s="8" t="s">
        <v>145</v>
      </c>
      <c r="O33" s="9">
        <v>44.0</v>
      </c>
      <c r="P33" s="10">
        <v>368.5</v>
      </c>
      <c r="Q33" s="10">
        <v>191.6</v>
      </c>
      <c r="R33" s="11">
        <v>14.7</v>
      </c>
      <c r="S33" s="10">
        <v>162.2</v>
      </c>
      <c r="T33" s="8" t="s">
        <v>318</v>
      </c>
      <c r="U33" s="11">
        <v>11.8</v>
      </c>
      <c r="V33" s="11">
        <v>6.2</v>
      </c>
      <c r="W33" s="11">
        <f>U33-V33</f>
        <v>5.6000000000000005</v>
      </c>
      <c r="X33" s="11">
        <v>4.2</v>
      </c>
      <c r="Y33" s="9">
        <v>2340.0</v>
      </c>
      <c r="Z33" s="10">
        <v>1563.1</v>
      </c>
      <c r="AA33" s="10">
        <v>66.8</v>
      </c>
      <c r="AB33" s="8" t="s">
        <v>50</v>
      </c>
      <c r="AC33" s="10">
        <v>518.8</v>
      </c>
      <c r="AD33" s="10">
        <v>258.2</v>
      </c>
      <c r="AE33" s="10">
        <f>AC33+AD33</f>
        <v>777.0</v>
      </c>
      <c r="AF33" s="10">
        <v>328.1</v>
      </c>
      <c r="AG33" s="10">
        <v>312.8</v>
      </c>
      <c r="AH33" s="10">
        <v>165.1</v>
      </c>
      <c r="AI33" s="8" t="s">
        <v>319</v>
      </c>
      <c r="AJ33" s="8" t="s">
        <v>320</v>
      </c>
      <c r="AK33" s="8" t="s">
        <v>85</v>
      </c>
      <c r="AL33" s="8" t="s">
        <v>321</v>
      </c>
    </row>
    <row r="34" spans="8:8" ht="18.75" customHeight="1">
      <c r="A34" s="2" t="s">
        <v>322</v>
      </c>
      <c r="B34" s="3" t="s">
        <v>273</v>
      </c>
      <c r="C34" s="3" t="s">
        <v>323</v>
      </c>
      <c r="D34" s="3" t="s">
        <v>101</v>
      </c>
      <c r="E34" s="3" t="s">
        <v>295</v>
      </c>
      <c r="F34" s="3" t="s">
        <v>324</v>
      </c>
      <c r="G34" s="3" t="s">
        <v>325</v>
      </c>
      <c r="H34" s="3" t="s">
        <v>59</v>
      </c>
      <c r="I34" s="4">
        <v>150.0</v>
      </c>
      <c r="J34" s="4">
        <v>920.0</v>
      </c>
      <c r="K34" s="5">
        <v>915.7</v>
      </c>
      <c r="L34" s="3" t="s">
        <v>326</v>
      </c>
      <c r="M34" s="3" t="s">
        <v>317</v>
      </c>
      <c r="N34" s="3" t="s">
        <v>327</v>
      </c>
      <c r="O34" s="4">
        <v>53.0</v>
      </c>
      <c r="P34" s="5">
        <v>595.2</v>
      </c>
      <c r="Q34" s="5">
        <v>164.8</v>
      </c>
      <c r="R34" s="6">
        <v>9.2</v>
      </c>
      <c r="S34" s="5">
        <v>146.5</v>
      </c>
      <c r="T34" s="3" t="s">
        <v>328</v>
      </c>
      <c r="U34" s="6">
        <v>10.5</v>
      </c>
      <c r="V34" s="6">
        <v>4.9</v>
      </c>
      <c r="W34" s="6">
        <f>U34-V34</f>
        <v>5.6</v>
      </c>
      <c r="X34" s="6">
        <v>3.8</v>
      </c>
      <c r="Y34" s="4">
        <v>1450.0</v>
      </c>
      <c r="Z34" s="5">
        <v>841.0</v>
      </c>
      <c r="AA34" s="5">
        <v>58.0</v>
      </c>
      <c r="AB34" s="3" t="s">
        <v>50</v>
      </c>
      <c r="AC34" s="5">
        <v>637.7</v>
      </c>
      <c r="AD34" s="5">
        <v>233.6</v>
      </c>
      <c r="AE34" s="5">
        <f>AC34+AD34</f>
        <v>871.3000000000001</v>
      </c>
      <c r="AF34" s="5">
        <v>474.8</v>
      </c>
      <c r="AG34" s="5">
        <v>314.8</v>
      </c>
      <c r="AH34" s="5">
        <v>149.2</v>
      </c>
      <c r="AI34" s="3" t="s">
        <v>61</v>
      </c>
      <c r="AJ34" s="3" t="s">
        <v>62</v>
      </c>
      <c r="AK34" s="3" t="s">
        <v>63</v>
      </c>
      <c r="AL34" s="3" t="s">
        <v>64</v>
      </c>
    </row>
    <row r="35" spans="8:8" ht="18.75" customHeight="1">
      <c r="A35" s="7" t="s">
        <v>329</v>
      </c>
      <c r="B35" s="8" t="s">
        <v>273</v>
      </c>
      <c r="C35" s="8" t="s">
        <v>330</v>
      </c>
      <c r="D35" s="8" t="s">
        <v>101</v>
      </c>
      <c r="E35" s="8" t="s">
        <v>275</v>
      </c>
      <c r="F35" s="8" t="s">
        <v>331</v>
      </c>
      <c r="G35" s="8" t="s">
        <v>332</v>
      </c>
      <c r="H35" s="8" t="s">
        <v>131</v>
      </c>
      <c r="I35" s="9">
        <v>165.0</v>
      </c>
      <c r="J35" s="9">
        <v>790.0</v>
      </c>
      <c r="K35" s="10">
        <v>780.5</v>
      </c>
      <c r="L35" s="8" t="s">
        <v>132</v>
      </c>
      <c r="M35" s="8" t="s">
        <v>163</v>
      </c>
      <c r="N35" s="8" t="s">
        <v>134</v>
      </c>
      <c r="O35" s="9">
        <v>46.0</v>
      </c>
      <c r="P35" s="10">
        <v>530.7</v>
      </c>
      <c r="Q35" s="10">
        <v>140.5</v>
      </c>
      <c r="R35" s="11">
        <v>7.8</v>
      </c>
      <c r="S35" s="10">
        <v>101.5</v>
      </c>
      <c r="T35" s="8" t="s">
        <v>333</v>
      </c>
      <c r="U35" s="11">
        <v>13.2</v>
      </c>
      <c r="V35" s="11">
        <v>6.8</v>
      </c>
      <c r="W35" s="11">
        <f>U35-V35</f>
        <v>6.3999999999999995</v>
      </c>
      <c r="X35" s="11">
        <v>4.0</v>
      </c>
      <c r="Y35" s="9">
        <v>1680.0</v>
      </c>
      <c r="Z35" s="10">
        <v>1098.7</v>
      </c>
      <c r="AA35" s="10">
        <v>65.4</v>
      </c>
      <c r="AB35" s="8" t="s">
        <v>50</v>
      </c>
      <c r="AC35" s="10">
        <v>543.1</v>
      </c>
      <c r="AD35" s="10">
        <v>281.1</v>
      </c>
      <c r="AE35" s="10">
        <f>AC35+AD35</f>
        <v>824.2</v>
      </c>
      <c r="AF35" s="10">
        <v>445.2</v>
      </c>
      <c r="AG35" s="10">
        <v>326.0</v>
      </c>
      <c r="AH35" s="10">
        <v>127.2</v>
      </c>
      <c r="AI35" s="8" t="s">
        <v>175</v>
      </c>
      <c r="AJ35" s="8" t="s">
        <v>176</v>
      </c>
      <c r="AK35" s="8" t="s">
        <v>155</v>
      </c>
      <c r="AL35" s="8" t="s">
        <v>177</v>
      </c>
    </row>
    <row r="36" spans="8:8" ht="18.75" customHeight="1">
      <c r="A36" s="2" t="s">
        <v>334</v>
      </c>
      <c r="B36" s="3" t="s">
        <v>273</v>
      </c>
      <c r="C36" s="3" t="s">
        <v>335</v>
      </c>
      <c r="D36" s="3" t="s">
        <v>255</v>
      </c>
      <c r="E36" s="3" t="s">
        <v>295</v>
      </c>
      <c r="F36" s="3" t="s">
        <v>336</v>
      </c>
      <c r="G36" s="3" t="s">
        <v>337</v>
      </c>
      <c r="H36" s="3" t="s">
        <v>161</v>
      </c>
      <c r="I36" s="4">
        <v>170.0</v>
      </c>
      <c r="J36" s="4">
        <v>2240.0</v>
      </c>
      <c r="K36" s="5">
        <v>2225.1</v>
      </c>
      <c r="L36" s="3" t="s">
        <v>338</v>
      </c>
      <c r="M36" s="3" t="s">
        <v>260</v>
      </c>
      <c r="N36" s="3" t="s">
        <v>134</v>
      </c>
      <c r="O36" s="4">
        <v>128.0</v>
      </c>
      <c r="P36" s="5">
        <v>1869.1</v>
      </c>
      <c r="Q36" s="5">
        <v>200.3</v>
      </c>
      <c r="R36" s="6">
        <v>22.3</v>
      </c>
      <c r="S36" s="5">
        <v>133.4</v>
      </c>
      <c r="T36" s="3" t="s">
        <v>339</v>
      </c>
      <c r="U36" s="6">
        <v>7.2</v>
      </c>
      <c r="V36" s="6">
        <v>2.5</v>
      </c>
      <c r="W36" s="6">
        <f>U36-V36</f>
        <v>4.7</v>
      </c>
      <c r="X36" s="6">
        <v>4.5</v>
      </c>
      <c r="Y36" s="4">
        <v>1520.0</v>
      </c>
      <c r="Z36" s="5">
        <v>486.4</v>
      </c>
      <c r="AA36" s="6">
        <v>32.0</v>
      </c>
      <c r="AB36" s="3" t="s">
        <v>50</v>
      </c>
      <c r="AC36" s="5">
        <v>1531.4</v>
      </c>
      <c r="AD36" s="5">
        <v>232.2</v>
      </c>
      <c r="AE36" s="5">
        <f>AC36+AD36</f>
        <v>1763.6000000000001</v>
      </c>
      <c r="AF36" s="5">
        <v>1340.7</v>
      </c>
      <c r="AG36" s="5">
        <v>359.6</v>
      </c>
      <c r="AH36" s="5">
        <v>139.8</v>
      </c>
      <c r="AI36" s="3" t="s">
        <v>269</v>
      </c>
      <c r="AJ36" s="3" t="s">
        <v>270</v>
      </c>
      <c r="AK36" s="3" t="s">
        <v>63</v>
      </c>
      <c r="AL36" s="3" t="s">
        <v>271</v>
      </c>
    </row>
    <row r="37" spans="8:8" ht="18.75" customHeight="1">
      <c r="A37" s="7" t="s">
        <v>340</v>
      </c>
      <c r="B37" s="8" t="s">
        <v>273</v>
      </c>
      <c r="C37" s="8" t="s">
        <v>341</v>
      </c>
      <c r="D37" s="8" t="s">
        <v>255</v>
      </c>
      <c r="E37" s="8" t="s">
        <v>342</v>
      </c>
      <c r="F37" s="8" t="s">
        <v>343</v>
      </c>
      <c r="G37" s="8" t="s">
        <v>344</v>
      </c>
      <c r="H37" s="8" t="s">
        <v>258</v>
      </c>
      <c r="I37" s="9">
        <v>140.0</v>
      </c>
      <c r="J37" s="9">
        <v>3450.0</v>
      </c>
      <c r="K37" s="10">
        <v>3401.7</v>
      </c>
      <c r="L37" s="8" t="s">
        <v>345</v>
      </c>
      <c r="M37" s="8" t="s">
        <v>346</v>
      </c>
      <c r="N37" s="8" t="s">
        <v>134</v>
      </c>
      <c r="O37" s="9">
        <v>145.0</v>
      </c>
      <c r="P37" s="10">
        <v>2959.5</v>
      </c>
      <c r="Q37" s="10">
        <v>272.1</v>
      </c>
      <c r="R37" s="11">
        <v>17.0</v>
      </c>
      <c r="S37" s="10">
        <v>153.1</v>
      </c>
      <c r="T37" s="8" t="s">
        <v>347</v>
      </c>
      <c r="U37" s="11">
        <v>6.8</v>
      </c>
      <c r="V37" s="11">
        <v>2.2</v>
      </c>
      <c r="W37" s="11">
        <f>U37-V37</f>
        <v>4.6</v>
      </c>
      <c r="X37" s="11">
        <v>7.0</v>
      </c>
      <c r="Y37" s="9">
        <v>1890.0</v>
      </c>
      <c r="Z37" s="10">
        <v>746.6</v>
      </c>
      <c r="AA37" s="11">
        <v>39.5</v>
      </c>
      <c r="AB37" s="8" t="s">
        <v>50</v>
      </c>
      <c r="AC37" s="10">
        <v>2336.5</v>
      </c>
      <c r="AD37" s="10">
        <v>353.5</v>
      </c>
      <c r="AE37" s="10">
        <f>AC37+AD37</f>
        <v>2690.0</v>
      </c>
      <c r="AF37" s="10">
        <v>2118.5</v>
      </c>
      <c r="AG37" s="10">
        <v>456.6</v>
      </c>
      <c r="AH37" s="10">
        <v>177.9</v>
      </c>
      <c r="AI37" s="8" t="s">
        <v>269</v>
      </c>
      <c r="AJ37" s="8" t="s">
        <v>270</v>
      </c>
      <c r="AK37" s="8" t="s">
        <v>63</v>
      </c>
      <c r="AL37" s="8" t="s">
        <v>271</v>
      </c>
    </row>
    <row r="38" spans="8:8" ht="18.75" customHeight="1">
      <c r="A38" s="2" t="s">
        <v>348</v>
      </c>
      <c r="B38" s="3" t="s">
        <v>349</v>
      </c>
      <c r="C38" s="3" t="s">
        <v>350</v>
      </c>
      <c r="D38" s="3" t="s">
        <v>255</v>
      </c>
      <c r="E38" s="3" t="s">
        <v>351</v>
      </c>
      <c r="F38" s="3" t="s">
        <v>352</v>
      </c>
      <c r="G38" s="3" t="s">
        <v>353</v>
      </c>
      <c r="H38" s="3" t="s">
        <v>258</v>
      </c>
      <c r="I38" s="4">
        <v>145.0</v>
      </c>
      <c r="J38" s="4">
        <v>3280.0</v>
      </c>
      <c r="K38" s="5">
        <v>3251.6</v>
      </c>
      <c r="L38" s="3" t="s">
        <v>354</v>
      </c>
      <c r="M38" s="3" t="s">
        <v>355</v>
      </c>
      <c r="N38" s="3" t="s">
        <v>48</v>
      </c>
      <c r="O38" s="4">
        <v>145.0</v>
      </c>
      <c r="P38" s="5">
        <v>2633.8</v>
      </c>
      <c r="Q38" s="5">
        <v>357.7</v>
      </c>
      <c r="R38" s="6">
        <v>32.5</v>
      </c>
      <c r="S38" s="5">
        <v>227.6</v>
      </c>
      <c r="T38" s="3" t="s">
        <v>356</v>
      </c>
      <c r="U38" s="6">
        <v>7.4</v>
      </c>
      <c r="V38" s="6">
        <v>2.8</v>
      </c>
      <c r="W38" s="6">
        <f>U38-V38</f>
        <v>4.6000000000000005</v>
      </c>
      <c r="X38" s="6">
        <v>6.5</v>
      </c>
      <c r="Y38" s="4">
        <v>1620.0</v>
      </c>
      <c r="Z38" s="5">
        <v>777.6</v>
      </c>
      <c r="AA38" s="6">
        <v>48.0</v>
      </c>
      <c r="AB38" s="3" t="s">
        <v>50</v>
      </c>
      <c r="AC38" s="5">
        <v>2242.9</v>
      </c>
      <c r="AD38" s="5">
        <v>328.3</v>
      </c>
      <c r="AE38" s="5">
        <f>AC38+AD38</f>
        <v>2571.2000000000003</v>
      </c>
      <c r="AF38" s="5">
        <v>1889.5</v>
      </c>
      <c r="AG38" s="5">
        <v>522.0</v>
      </c>
      <c r="AH38" s="5">
        <v>225.0</v>
      </c>
      <c r="AI38" s="3" t="s">
        <v>269</v>
      </c>
      <c r="AJ38" s="3" t="s">
        <v>270</v>
      </c>
      <c r="AK38" s="3" t="s">
        <v>63</v>
      </c>
      <c r="AL38" s="3" t="s">
        <v>271</v>
      </c>
    </row>
    <row r="39" spans="8:8" ht="18.75" customHeight="1">
      <c r="A39" s="7" t="s">
        <v>357</v>
      </c>
      <c r="B39" s="8" t="s">
        <v>349</v>
      </c>
      <c r="C39" s="8" t="s">
        <v>358</v>
      </c>
      <c r="D39" s="8" t="s">
        <v>255</v>
      </c>
      <c r="E39" s="8" t="s">
        <v>351</v>
      </c>
      <c r="F39" s="8" t="s">
        <v>359</v>
      </c>
      <c r="G39" s="8" t="s">
        <v>360</v>
      </c>
      <c r="H39" s="8" t="s">
        <v>361</v>
      </c>
      <c r="I39" s="9">
        <v>155.0</v>
      </c>
      <c r="J39" s="9">
        <v>2650.0</v>
      </c>
      <c r="K39" s="10">
        <v>2641.2</v>
      </c>
      <c r="L39" s="8" t="s">
        <v>46</v>
      </c>
      <c r="M39" s="8" t="s">
        <v>355</v>
      </c>
      <c r="N39" s="8" t="s">
        <v>48</v>
      </c>
      <c r="O39" s="9">
        <v>145.0</v>
      </c>
      <c r="P39" s="10">
        <v>1954.5</v>
      </c>
      <c r="Q39" s="10">
        <v>422.6</v>
      </c>
      <c r="R39" s="11">
        <v>26.4</v>
      </c>
      <c r="S39" s="10">
        <v>237.7</v>
      </c>
      <c r="T39" s="8" t="s">
        <v>362</v>
      </c>
      <c r="U39" s="11">
        <v>8.2</v>
      </c>
      <c r="V39" s="11">
        <v>3.4</v>
      </c>
      <c r="W39" s="11">
        <f>U39-V39</f>
        <v>4.799999999999999</v>
      </c>
      <c r="X39" s="11">
        <v>7.5</v>
      </c>
      <c r="Y39" s="9">
        <v>2150.0</v>
      </c>
      <c r="Z39" s="10">
        <v>1212.6</v>
      </c>
      <c r="AA39" s="10">
        <v>56.4</v>
      </c>
      <c r="AB39" s="8" t="s">
        <v>50</v>
      </c>
      <c r="AC39" s="10">
        <v>1832.3</v>
      </c>
      <c r="AD39" s="10">
        <v>395.3</v>
      </c>
      <c r="AE39" s="10">
        <f>AC39+AD39</f>
        <v>2227.6</v>
      </c>
      <c r="AF39" s="10">
        <v>1447.7</v>
      </c>
      <c r="AG39" s="10">
        <v>604.3</v>
      </c>
      <c r="AH39" s="10">
        <v>245.5</v>
      </c>
      <c r="AI39" s="8" t="s">
        <v>363</v>
      </c>
      <c r="AJ39" s="8" t="s">
        <v>364</v>
      </c>
      <c r="AK39" s="8" t="s">
        <v>155</v>
      </c>
      <c r="AL39" s="8" t="s">
        <v>365</v>
      </c>
    </row>
    <row r="40" spans="8:8" ht="18.75" customHeight="1">
      <c r="A40" s="2" t="s">
        <v>366</v>
      </c>
      <c r="B40" s="3" t="s">
        <v>349</v>
      </c>
      <c r="C40" s="3" t="s">
        <v>367</v>
      </c>
      <c r="D40" s="3" t="s">
        <v>255</v>
      </c>
      <c r="E40" s="3" t="s">
        <v>351</v>
      </c>
      <c r="F40" s="3" t="s">
        <v>368</v>
      </c>
      <c r="G40" s="3" t="s">
        <v>369</v>
      </c>
      <c r="H40" s="3" t="s">
        <v>258</v>
      </c>
      <c r="I40" s="4">
        <v>150.0</v>
      </c>
      <c r="J40" s="4">
        <v>2320.0</v>
      </c>
      <c r="K40" s="5">
        <v>2324.6</v>
      </c>
      <c r="L40" s="3" t="s">
        <v>370</v>
      </c>
      <c r="M40" s="3" t="s">
        <v>355</v>
      </c>
      <c r="N40" s="3" t="s">
        <v>71</v>
      </c>
      <c r="O40" s="4">
        <v>134.0</v>
      </c>
      <c r="P40" s="5">
        <v>1394.8</v>
      </c>
      <c r="Q40" s="5">
        <v>557.9</v>
      </c>
      <c r="R40" s="6">
        <v>46.5</v>
      </c>
      <c r="S40" s="5">
        <v>325.4</v>
      </c>
      <c r="T40" s="3" t="s">
        <v>371</v>
      </c>
      <c r="U40" s="6">
        <v>7.8</v>
      </c>
      <c r="V40" s="6">
        <v>3.2</v>
      </c>
      <c r="W40" s="6">
        <f>U40-V40</f>
        <v>4.6</v>
      </c>
      <c r="X40" s="6">
        <v>8.0</v>
      </c>
      <c r="Y40" s="4">
        <v>1480.0</v>
      </c>
      <c r="Z40" s="5">
        <v>769.6</v>
      </c>
      <c r="AA40" s="5">
        <v>52.0</v>
      </c>
      <c r="AB40" s="3" t="s">
        <v>50</v>
      </c>
      <c r="AC40" s="5">
        <v>1629.6</v>
      </c>
      <c r="AD40" s="5">
        <v>404.1</v>
      </c>
      <c r="AE40" s="5">
        <f>AC40+AD40</f>
        <v>2033.6999999999998</v>
      </c>
      <c r="AF40" s="5">
        <v>1069.7</v>
      </c>
      <c r="AG40" s="5">
        <v>722.9</v>
      </c>
      <c r="AH40" s="5">
        <v>308.6</v>
      </c>
      <c r="AI40" s="3" t="s">
        <v>269</v>
      </c>
      <c r="AJ40" s="3" t="s">
        <v>270</v>
      </c>
      <c r="AK40" s="3" t="s">
        <v>63</v>
      </c>
      <c r="AL40" s="3" t="s">
        <v>271</v>
      </c>
    </row>
    <row r="41" spans="8:8" ht="18.75" customHeight="1">
      <c r="A41" s="7" t="s">
        <v>372</v>
      </c>
      <c r="B41" s="8" t="s">
        <v>349</v>
      </c>
      <c r="C41" s="8" t="s">
        <v>373</v>
      </c>
      <c r="D41" s="8" t="s">
        <v>255</v>
      </c>
      <c r="E41" s="8" t="s">
        <v>351</v>
      </c>
      <c r="F41" s="8" t="s">
        <v>374</v>
      </c>
      <c r="G41" s="8" t="s">
        <v>375</v>
      </c>
      <c r="H41" s="8" t="s">
        <v>376</v>
      </c>
      <c r="I41" s="9">
        <v>210.0</v>
      </c>
      <c r="J41" s="9">
        <v>2890.0</v>
      </c>
      <c r="K41" s="10">
        <v>2874.6</v>
      </c>
      <c r="L41" s="8" t="s">
        <v>377</v>
      </c>
      <c r="M41" s="8" t="s">
        <v>355</v>
      </c>
      <c r="N41" s="8" t="s">
        <v>378</v>
      </c>
      <c r="O41" s="9">
        <v>145.0</v>
      </c>
      <c r="P41" s="10">
        <v>2012.2</v>
      </c>
      <c r="Q41" s="10">
        <v>517.4</v>
      </c>
      <c r="R41" s="10">
        <v>57.5</v>
      </c>
      <c r="S41" s="10">
        <v>287.5</v>
      </c>
      <c r="T41" s="8" t="s">
        <v>379</v>
      </c>
      <c r="U41" s="11">
        <v>2.5</v>
      </c>
      <c r="V41" s="11">
        <v>0.8</v>
      </c>
      <c r="W41" s="11">
        <f>U41-V41</f>
        <v>1.7</v>
      </c>
      <c r="X41" s="11">
        <v>11.0</v>
      </c>
      <c r="Y41" s="9">
        <v>940.0</v>
      </c>
      <c r="Z41" s="10">
        <v>319.6</v>
      </c>
      <c r="AA41" s="11">
        <v>34.0</v>
      </c>
      <c r="AB41" s="8" t="s">
        <v>50</v>
      </c>
      <c r="AC41" s="10">
        <v>2000.7</v>
      </c>
      <c r="AD41" s="10">
        <v>205.3</v>
      </c>
      <c r="AE41" s="10">
        <f>AC41+AD41</f>
        <v>2206.0</v>
      </c>
      <c r="AF41" s="10">
        <v>1429.9</v>
      </c>
      <c r="AG41" s="10">
        <v>628.4</v>
      </c>
      <c r="AH41" s="10">
        <v>242.3</v>
      </c>
      <c r="AI41" s="8" t="s">
        <v>380</v>
      </c>
      <c r="AJ41" s="8" t="s">
        <v>381</v>
      </c>
      <c r="AK41" s="8" t="s">
        <v>53</v>
      </c>
      <c r="AL41" s="8" t="s">
        <v>382</v>
      </c>
    </row>
    <row r="42" spans="8:8" ht="18.75" customHeight="1">
      <c r="A42" s="2" t="s">
        <v>383</v>
      </c>
      <c r="B42" s="3" t="s">
        <v>349</v>
      </c>
      <c r="C42" s="3" t="s">
        <v>384</v>
      </c>
      <c r="D42" s="3" t="s">
        <v>255</v>
      </c>
      <c r="E42" s="3" t="s">
        <v>351</v>
      </c>
      <c r="F42" s="3" t="s">
        <v>385</v>
      </c>
      <c r="G42" s="3" t="s">
        <v>386</v>
      </c>
      <c r="H42" s="3" t="s">
        <v>387</v>
      </c>
      <c r="I42" s="4">
        <v>180.0</v>
      </c>
      <c r="J42" s="4">
        <v>3350.0</v>
      </c>
      <c r="K42" s="5">
        <v>3350.0</v>
      </c>
      <c r="L42" s="3" t="s">
        <v>388</v>
      </c>
      <c r="M42" s="3" t="s">
        <v>355</v>
      </c>
      <c r="N42" s="3" t="s">
        <v>389</v>
      </c>
      <c r="O42" s="4">
        <v>145.0</v>
      </c>
      <c r="P42" s="5">
        <v>2613.0</v>
      </c>
      <c r="Q42" s="5">
        <v>435.5</v>
      </c>
      <c r="R42" s="6">
        <v>33.5</v>
      </c>
      <c r="S42" s="5">
        <v>268.0</v>
      </c>
      <c r="T42" s="3" t="s">
        <v>390</v>
      </c>
      <c r="U42" s="6">
        <v>6.2</v>
      </c>
      <c r="V42" s="6">
        <v>2.4</v>
      </c>
      <c r="W42" s="6">
        <f>U42-V42</f>
        <v>3.8000000000000003</v>
      </c>
      <c r="X42" s="6">
        <v>4.5</v>
      </c>
      <c r="Y42" s="4">
        <v>880.0</v>
      </c>
      <c r="Z42" s="5">
        <v>277.2</v>
      </c>
      <c r="AA42" s="6">
        <v>31.5</v>
      </c>
      <c r="AB42" s="3" t="s">
        <v>50</v>
      </c>
      <c r="AC42" s="5">
        <v>2316.2</v>
      </c>
      <c r="AD42" s="5">
        <v>187.7</v>
      </c>
      <c r="AE42" s="5">
        <f>AC42+AD42</f>
        <v>2503.8999999999996</v>
      </c>
      <c r="AF42" s="5">
        <v>1833.1</v>
      </c>
      <c r="AG42" s="5">
        <v>526.6</v>
      </c>
      <c r="AH42" s="5">
        <v>225.1</v>
      </c>
      <c r="AI42" s="3" t="s">
        <v>269</v>
      </c>
      <c r="AJ42" s="3" t="s">
        <v>270</v>
      </c>
      <c r="AK42" s="3" t="s">
        <v>63</v>
      </c>
      <c r="AL42" s="3" t="s">
        <v>271</v>
      </c>
    </row>
    <row r="43" spans="8:8" ht="18.75" customHeight="1">
      <c r="A43" s="7" t="s">
        <v>391</v>
      </c>
      <c r="B43" s="8" t="s">
        <v>392</v>
      </c>
      <c r="C43" s="8" t="s">
        <v>393</v>
      </c>
      <c r="D43" s="8" t="s">
        <v>255</v>
      </c>
      <c r="E43" s="8" t="s">
        <v>394</v>
      </c>
      <c r="F43" s="8" t="s">
        <v>395</v>
      </c>
      <c r="G43" s="8" t="s">
        <v>396</v>
      </c>
      <c r="H43" s="8" t="s">
        <v>258</v>
      </c>
      <c r="I43" s="9">
        <v>140.0</v>
      </c>
      <c r="J43" s="9">
        <v>3150.0</v>
      </c>
      <c r="K43" s="10">
        <v>3126.9</v>
      </c>
      <c r="L43" s="8" t="s">
        <v>397</v>
      </c>
      <c r="M43" s="8" t="s">
        <v>163</v>
      </c>
      <c r="N43" s="8" t="s">
        <v>398</v>
      </c>
      <c r="O43" s="9">
        <v>145.0</v>
      </c>
      <c r="P43" s="10">
        <v>2939.3</v>
      </c>
      <c r="Q43" s="10">
        <v>125.1</v>
      </c>
      <c r="R43" s="11">
        <v>15.6</v>
      </c>
      <c r="S43" s="11">
        <v>46.9</v>
      </c>
      <c r="T43" s="8" t="s">
        <v>399</v>
      </c>
      <c r="U43" s="11">
        <v>8.5</v>
      </c>
      <c r="V43" s="11">
        <v>2.8</v>
      </c>
      <c r="W43" s="11">
        <f>U43-V43</f>
        <v>5.7</v>
      </c>
      <c r="X43" s="11">
        <v>4.5</v>
      </c>
      <c r="Y43" s="9">
        <v>1420.0</v>
      </c>
      <c r="Z43" s="10">
        <v>397.6</v>
      </c>
      <c r="AA43" s="11">
        <v>28.0</v>
      </c>
      <c r="AB43" s="8" t="s">
        <v>50</v>
      </c>
      <c r="AC43" s="10">
        <v>2137.0</v>
      </c>
      <c r="AD43" s="10">
        <v>281.6</v>
      </c>
      <c r="AE43" s="10">
        <f>AC43+AD43</f>
        <v>2418.6</v>
      </c>
      <c r="AF43" s="10">
        <v>2083.2</v>
      </c>
      <c r="AG43" s="10">
        <v>309.3</v>
      </c>
      <c r="AH43" s="10">
        <v>89.1</v>
      </c>
      <c r="AI43" s="8" t="s">
        <v>269</v>
      </c>
      <c r="AJ43" s="8" t="s">
        <v>270</v>
      </c>
      <c r="AK43" s="8" t="s">
        <v>63</v>
      </c>
      <c r="AL43" s="8" t="s">
        <v>271</v>
      </c>
    </row>
    <row r="44" spans="8:8" ht="18.75" customHeight="1">
      <c r="A44" s="2" t="s">
        <v>400</v>
      </c>
      <c r="B44" s="3" t="s">
        <v>392</v>
      </c>
      <c r="C44" s="3" t="s">
        <v>401</v>
      </c>
      <c r="D44" s="3" t="s">
        <v>255</v>
      </c>
      <c r="E44" s="3" t="s">
        <v>394</v>
      </c>
      <c r="F44" s="3" t="s">
        <v>402</v>
      </c>
      <c r="G44" s="3" t="s">
        <v>403</v>
      </c>
      <c r="H44" s="3" t="s">
        <v>404</v>
      </c>
      <c r="I44" s="4">
        <v>155.0</v>
      </c>
      <c r="J44" s="4">
        <v>2750.0</v>
      </c>
      <c r="K44" s="5">
        <v>2709.7</v>
      </c>
      <c r="L44" s="3" t="s">
        <v>397</v>
      </c>
      <c r="M44" s="3" t="s">
        <v>279</v>
      </c>
      <c r="N44" s="3" t="s">
        <v>398</v>
      </c>
      <c r="O44" s="4">
        <v>145.0</v>
      </c>
      <c r="P44" s="5">
        <v>2574.2</v>
      </c>
      <c r="Q44" s="5">
        <v>108.4</v>
      </c>
      <c r="R44" s="6">
        <v>5.4</v>
      </c>
      <c r="S44" s="6">
        <v>21.7</v>
      </c>
      <c r="T44" s="3" t="s">
        <v>405</v>
      </c>
      <c r="U44" s="6">
        <v>7.8</v>
      </c>
      <c r="V44" s="6">
        <v>2.6</v>
      </c>
      <c r="W44" s="6">
        <f>U44-V44</f>
        <v>5.199999999999999</v>
      </c>
      <c r="X44" s="6">
        <v>5.0</v>
      </c>
      <c r="Y44" s="4">
        <v>1580.0</v>
      </c>
      <c r="Z44" s="5">
        <v>576.7</v>
      </c>
      <c r="AA44" s="6">
        <v>36.5</v>
      </c>
      <c r="AB44" s="3" t="s">
        <v>50</v>
      </c>
      <c r="AC44" s="5">
        <v>1851.1</v>
      </c>
      <c r="AD44" s="5">
        <v>285.5</v>
      </c>
      <c r="AE44" s="5">
        <f>AC44+AD44</f>
        <v>2136.6</v>
      </c>
      <c r="AF44" s="5">
        <v>1836.1</v>
      </c>
      <c r="AG44" s="5">
        <v>298.0</v>
      </c>
      <c r="AH44" s="5">
        <v>72.3</v>
      </c>
      <c r="AI44" s="3" t="s">
        <v>363</v>
      </c>
      <c r="AJ44" s="3" t="s">
        <v>364</v>
      </c>
      <c r="AK44" s="3" t="s">
        <v>155</v>
      </c>
      <c r="AL44" s="3" t="s">
        <v>365</v>
      </c>
    </row>
    <row r="45" spans="8:8" ht="18.75" customHeight="1">
      <c r="A45" s="7" t="s">
        <v>406</v>
      </c>
      <c r="B45" s="8" t="s">
        <v>392</v>
      </c>
      <c r="C45" s="8" t="s">
        <v>407</v>
      </c>
      <c r="D45" s="8" t="s">
        <v>408</v>
      </c>
      <c r="E45" s="8" t="s">
        <v>409</v>
      </c>
      <c r="F45" s="8" t="s">
        <v>410</v>
      </c>
      <c r="G45" s="8" t="s">
        <v>411</v>
      </c>
      <c r="H45" s="8" t="s">
        <v>361</v>
      </c>
      <c r="I45" s="9">
        <v>145.0</v>
      </c>
      <c r="J45" s="9">
        <v>3800.0</v>
      </c>
      <c r="K45" s="10">
        <v>3764.5</v>
      </c>
      <c r="L45" s="8" t="s">
        <v>412</v>
      </c>
      <c r="M45" s="8" t="s">
        <v>163</v>
      </c>
      <c r="N45" s="8" t="s">
        <v>398</v>
      </c>
      <c r="O45" s="9">
        <v>145.0</v>
      </c>
      <c r="P45" s="10">
        <v>3576.3</v>
      </c>
      <c r="Q45" s="10">
        <v>150.6</v>
      </c>
      <c r="R45" s="11">
        <v>7.5</v>
      </c>
      <c r="S45" s="11">
        <v>30.1</v>
      </c>
      <c r="T45" s="8" t="s">
        <v>413</v>
      </c>
      <c r="U45" s="11">
        <v>9.2</v>
      </c>
      <c r="V45" s="11">
        <v>2.1</v>
      </c>
      <c r="W45" s="11">
        <f>U45-V45</f>
        <v>7.1</v>
      </c>
      <c r="X45" s="11">
        <v>3.0</v>
      </c>
      <c r="Y45" s="9">
        <v>890.0</v>
      </c>
      <c r="Z45" s="10">
        <v>195.8</v>
      </c>
      <c r="AA45" s="11">
        <v>22.0</v>
      </c>
      <c r="AB45" s="8" t="s">
        <v>50</v>
      </c>
      <c r="AC45" s="10">
        <v>2571.6</v>
      </c>
      <c r="AD45" s="10">
        <v>233.9</v>
      </c>
      <c r="AE45" s="10">
        <f>AC45+AD45</f>
        <v>2805.5</v>
      </c>
      <c r="AF45" s="10">
        <v>2502.1</v>
      </c>
      <c r="AG45" s="10">
        <v>300.8</v>
      </c>
      <c r="AH45" s="10">
        <v>67.9</v>
      </c>
      <c r="AI45" s="8" t="s">
        <v>269</v>
      </c>
      <c r="AJ45" s="8" t="s">
        <v>270</v>
      </c>
      <c r="AK45" s="8" t="s">
        <v>63</v>
      </c>
      <c r="AL45" s="8" t="s">
        <v>271</v>
      </c>
    </row>
    <row r="46" spans="8:8" ht="18.75" customHeight="1">
      <c r="A46" s="2" t="s">
        <v>414</v>
      </c>
      <c r="B46" s="3" t="s">
        <v>392</v>
      </c>
      <c r="C46" s="3" t="s">
        <v>415</v>
      </c>
      <c r="D46" s="3" t="s">
        <v>408</v>
      </c>
      <c r="E46" s="3" t="s">
        <v>409</v>
      </c>
      <c r="F46" s="3" t="s">
        <v>416</v>
      </c>
      <c r="G46" s="3" t="s">
        <v>417</v>
      </c>
      <c r="H46" s="3" t="s">
        <v>104</v>
      </c>
      <c r="I46" s="4">
        <v>170.0</v>
      </c>
      <c r="J46" s="4">
        <v>1050.0</v>
      </c>
      <c r="K46" s="5">
        <v>1045.8</v>
      </c>
      <c r="L46" s="3" t="s">
        <v>171</v>
      </c>
      <c r="M46" s="3" t="s">
        <v>279</v>
      </c>
      <c r="N46" s="3" t="s">
        <v>418</v>
      </c>
      <c r="O46" s="4">
        <v>65.0</v>
      </c>
      <c r="P46" s="5">
        <v>878.5</v>
      </c>
      <c r="Q46" s="5">
        <v>115.0</v>
      </c>
      <c r="R46" s="6">
        <v>10.5</v>
      </c>
      <c r="S46" s="6">
        <v>41.8</v>
      </c>
      <c r="T46" s="3" t="s">
        <v>419</v>
      </c>
      <c r="U46" s="6">
        <v>8.4</v>
      </c>
      <c r="V46" s="6">
        <v>3.5</v>
      </c>
      <c r="W46" s="6">
        <f>U46-V46</f>
        <v>4.9</v>
      </c>
      <c r="X46" s="6">
        <v>4.5</v>
      </c>
      <c r="Y46" s="4">
        <v>2650.0</v>
      </c>
      <c r="Z46" s="5">
        <v>1484.0</v>
      </c>
      <c r="AA46" s="5">
        <v>56.0</v>
      </c>
      <c r="AB46" s="3" t="s">
        <v>50</v>
      </c>
      <c r="AC46" s="5">
        <v>720.8</v>
      </c>
      <c r="AD46" s="5">
        <v>242.1</v>
      </c>
      <c r="AE46" s="5">
        <f>AC46+AD46</f>
        <v>962.9</v>
      </c>
      <c r="AF46" s="5">
        <v>670.0</v>
      </c>
      <c r="AG46" s="5">
        <v>291.6</v>
      </c>
      <c r="AH46" s="5">
        <v>77.7</v>
      </c>
      <c r="AI46" s="3" t="s">
        <v>175</v>
      </c>
      <c r="AJ46" s="3" t="s">
        <v>176</v>
      </c>
      <c r="AK46" s="3" t="s">
        <v>155</v>
      </c>
      <c r="AL46" s="3" t="s">
        <v>177</v>
      </c>
    </row>
    <row r="47" spans="8:8" ht="18.75" customHeight="1">
      <c r="A47" s="7" t="s">
        <v>420</v>
      </c>
      <c r="B47" s="8" t="s">
        <v>392</v>
      </c>
      <c r="C47" s="8" t="s">
        <v>421</v>
      </c>
      <c r="D47" s="8" t="s">
        <v>408</v>
      </c>
      <c r="E47" s="8" t="s">
        <v>409</v>
      </c>
      <c r="F47" s="8" t="s">
        <v>422</v>
      </c>
      <c r="G47" s="8" t="s">
        <v>423</v>
      </c>
      <c r="H47" s="8" t="s">
        <v>104</v>
      </c>
      <c r="I47" s="9">
        <v>135.0</v>
      </c>
      <c r="J47" s="9">
        <v>540.0</v>
      </c>
      <c r="K47" s="10">
        <v>532.2</v>
      </c>
      <c r="L47" s="8" t="s">
        <v>424</v>
      </c>
      <c r="M47" s="8" t="s">
        <v>190</v>
      </c>
      <c r="N47" s="8" t="s">
        <v>236</v>
      </c>
      <c r="O47" s="9">
        <v>33.0</v>
      </c>
      <c r="P47" s="10">
        <v>393.8</v>
      </c>
      <c r="Q47" s="10">
        <v>95.8</v>
      </c>
      <c r="R47" s="11">
        <v>5.3</v>
      </c>
      <c r="S47" s="11">
        <v>37.3</v>
      </c>
      <c r="T47" s="8" t="s">
        <v>425</v>
      </c>
      <c r="U47" s="11">
        <v>18.5</v>
      </c>
      <c r="V47" s="11">
        <v>10.8</v>
      </c>
      <c r="W47" s="11">
        <f>U47-V47</f>
        <v>7.699999999999999</v>
      </c>
      <c r="X47" s="11">
        <v>2.8</v>
      </c>
      <c r="Y47" s="9">
        <v>4120.0</v>
      </c>
      <c r="Z47" s="10">
        <v>3481.4</v>
      </c>
      <c r="AA47" s="10">
        <v>84.5</v>
      </c>
      <c r="AB47" s="8" t="s">
        <v>106</v>
      </c>
      <c r="AC47" s="10">
        <v>369.7</v>
      </c>
      <c r="AD47" s="10">
        <v>197.2</v>
      </c>
      <c r="AE47" s="10">
        <f>AC47+AD47</f>
        <v>566.9</v>
      </c>
      <c r="AF47" s="10">
        <v>327.0</v>
      </c>
      <c r="AG47" s="10">
        <v>201.4</v>
      </c>
      <c r="AH47" s="10">
        <v>65.5</v>
      </c>
      <c r="AI47" s="8" t="s">
        <v>153</v>
      </c>
      <c r="AJ47" s="8" t="s">
        <v>154</v>
      </c>
      <c r="AK47" s="8" t="s">
        <v>155</v>
      </c>
      <c r="AL47" s="8" t="s">
        <v>156</v>
      </c>
    </row>
    <row r="48" spans="8:8" ht="18.75" customHeight="1">
      <c r="A48" s="2" t="s">
        <v>426</v>
      </c>
      <c r="B48" s="3" t="s">
        <v>392</v>
      </c>
      <c r="C48" s="3" t="s">
        <v>427</v>
      </c>
      <c r="D48" s="3" t="s">
        <v>408</v>
      </c>
      <c r="E48" s="3" t="s">
        <v>428</v>
      </c>
      <c r="F48" s="3" t="s">
        <v>429</v>
      </c>
      <c r="G48" s="3" t="s">
        <v>430</v>
      </c>
      <c r="H48" s="3" t="s">
        <v>182</v>
      </c>
      <c r="I48" s="4">
        <v>180.0</v>
      </c>
      <c r="J48" s="4">
        <v>765.0</v>
      </c>
      <c r="K48" s="5">
        <v>760.4</v>
      </c>
      <c r="L48" s="3" t="s">
        <v>171</v>
      </c>
      <c r="M48" s="3" t="s">
        <v>172</v>
      </c>
      <c r="N48" s="3" t="s">
        <v>183</v>
      </c>
      <c r="O48" s="4">
        <v>45.0</v>
      </c>
      <c r="P48" s="5">
        <v>631.1</v>
      </c>
      <c r="Q48" s="5">
        <v>91.2</v>
      </c>
      <c r="R48" s="6">
        <v>7.6</v>
      </c>
      <c r="S48" s="6">
        <v>30.5</v>
      </c>
      <c r="T48" s="3" t="s">
        <v>431</v>
      </c>
      <c r="U48" s="6">
        <v>15.6</v>
      </c>
      <c r="V48" s="6">
        <v>8.2</v>
      </c>
      <c r="W48" s="6">
        <f>U48-V48</f>
        <v>7.4</v>
      </c>
      <c r="X48" s="6">
        <v>3.2</v>
      </c>
      <c r="Y48" s="4">
        <v>3850.0</v>
      </c>
      <c r="Z48" s="5">
        <v>2856.7</v>
      </c>
      <c r="AA48" s="5">
        <v>74.2</v>
      </c>
      <c r="AB48" s="3" t="s">
        <v>106</v>
      </c>
      <c r="AC48" s="5">
        <v>524.5</v>
      </c>
      <c r="AD48" s="5">
        <v>216.7</v>
      </c>
      <c r="AE48" s="5">
        <f>AC48+AD48</f>
        <v>741.2</v>
      </c>
      <c r="AF48" s="5">
        <v>494.1</v>
      </c>
      <c r="AG48" s="5">
        <v>263.4</v>
      </c>
      <c r="AH48" s="5">
        <v>64.6</v>
      </c>
      <c r="AI48" s="3" t="s">
        <v>136</v>
      </c>
      <c r="AJ48" s="3" t="s">
        <v>137</v>
      </c>
      <c r="AK48" s="3" t="s">
        <v>75</v>
      </c>
      <c r="AL48" s="3" t="s">
        <v>138</v>
      </c>
    </row>
    <row r="49" spans="8:8" ht="18.75" customHeight="1">
      <c r="A49" s="7" t="s">
        <v>432</v>
      </c>
      <c r="B49" s="8" t="s">
        <v>392</v>
      </c>
      <c r="C49" s="8" t="s">
        <v>433</v>
      </c>
      <c r="D49" s="8" t="s">
        <v>408</v>
      </c>
      <c r="E49" s="8" t="s">
        <v>428</v>
      </c>
      <c r="F49" s="8" t="s">
        <v>434</v>
      </c>
      <c r="G49" s="8" t="s">
        <v>435</v>
      </c>
      <c r="H49" s="8" t="s">
        <v>182</v>
      </c>
      <c r="I49" s="9">
        <v>195.0</v>
      </c>
      <c r="J49" s="9">
        <v>915.0</v>
      </c>
      <c r="K49" s="10">
        <v>914.4</v>
      </c>
      <c r="L49" s="8" t="s">
        <v>171</v>
      </c>
      <c r="M49" s="8" t="s">
        <v>172</v>
      </c>
      <c r="N49" s="8" t="s">
        <v>183</v>
      </c>
      <c r="O49" s="9">
        <v>53.0</v>
      </c>
      <c r="P49" s="10">
        <v>786.4</v>
      </c>
      <c r="Q49" s="10">
        <v>91.4</v>
      </c>
      <c r="R49" s="11">
        <v>9.1</v>
      </c>
      <c r="S49" s="11">
        <v>27.5</v>
      </c>
      <c r="T49" s="8" t="s">
        <v>436</v>
      </c>
      <c r="U49" s="11">
        <v>11.4</v>
      </c>
      <c r="V49" s="11">
        <v>5.1</v>
      </c>
      <c r="W49" s="11">
        <f>U49-V49</f>
        <v>6.300000000000001</v>
      </c>
      <c r="X49" s="11">
        <v>4.0</v>
      </c>
      <c r="Y49" s="9">
        <v>3420.0</v>
      </c>
      <c r="Z49" s="10">
        <v>2004.1</v>
      </c>
      <c r="AA49" s="10">
        <v>58.6</v>
      </c>
      <c r="AB49" s="8" t="s">
        <v>50</v>
      </c>
      <c r="AC49" s="10">
        <v>629.4</v>
      </c>
      <c r="AD49" s="10">
        <v>276.7</v>
      </c>
      <c r="AE49" s="10">
        <f>AC49+AD49</f>
        <v>906.0999999999999</v>
      </c>
      <c r="AF49" s="10">
        <v>617.8</v>
      </c>
      <c r="AG49" s="10">
        <v>301.5</v>
      </c>
      <c r="AH49" s="10">
        <v>74.5</v>
      </c>
      <c r="AI49" s="8" t="s">
        <v>73</v>
      </c>
      <c r="AJ49" s="8" t="s">
        <v>74</v>
      </c>
      <c r="AK49" s="8" t="s">
        <v>75</v>
      </c>
      <c r="AL49" s="8" t="s">
        <v>76</v>
      </c>
    </row>
    <row r="50" spans="8:8" ht="18.75" customHeight="1">
      <c r="A50" s="2" t="s">
        <v>437</v>
      </c>
      <c r="B50" s="3" t="s">
        <v>392</v>
      </c>
      <c r="C50" s="3" t="s">
        <v>438</v>
      </c>
      <c r="D50" s="3" t="s">
        <v>408</v>
      </c>
      <c r="E50" s="3" t="s">
        <v>439</v>
      </c>
      <c r="F50" s="3" t="s">
        <v>440</v>
      </c>
      <c r="G50" s="3" t="s">
        <v>441</v>
      </c>
      <c r="H50" s="3" t="s">
        <v>182</v>
      </c>
      <c r="I50" s="4">
        <v>190.0</v>
      </c>
      <c r="J50" s="4">
        <v>845.0</v>
      </c>
      <c r="K50" s="5">
        <v>838.2</v>
      </c>
      <c r="L50" s="3" t="s">
        <v>171</v>
      </c>
      <c r="M50" s="3" t="s">
        <v>442</v>
      </c>
      <c r="N50" s="3" t="s">
        <v>443</v>
      </c>
      <c r="O50" s="4">
        <v>49.0</v>
      </c>
      <c r="P50" s="5">
        <v>729.2</v>
      </c>
      <c r="Q50" s="5">
        <v>67.1</v>
      </c>
      <c r="R50" s="6">
        <v>16.8</v>
      </c>
      <c r="S50" s="6">
        <v>25.1</v>
      </c>
      <c r="T50" s="3" t="s">
        <v>444</v>
      </c>
      <c r="U50" s="6">
        <v>10.8</v>
      </c>
      <c r="V50" s="6">
        <v>4.9</v>
      </c>
      <c r="W50" s="6">
        <f>U50-V50</f>
        <v>5.9</v>
      </c>
      <c r="X50" s="6">
        <v>5.5</v>
      </c>
      <c r="Y50" s="4">
        <v>3280.0</v>
      </c>
      <c r="Z50" s="5">
        <v>2017.2</v>
      </c>
      <c r="AA50" s="5">
        <v>61.5</v>
      </c>
      <c r="AB50" s="3" t="s">
        <v>50</v>
      </c>
      <c r="AC50" s="5">
        <v>576.4</v>
      </c>
      <c r="AD50" s="5">
        <v>356.3</v>
      </c>
      <c r="AE50" s="5">
        <f>AC50+AD50</f>
        <v>932.7</v>
      </c>
      <c r="AF50" s="5">
        <v>602.8</v>
      </c>
      <c r="AG50" s="5">
        <v>326.6</v>
      </c>
      <c r="AH50" s="5">
        <v>88.9</v>
      </c>
      <c r="AI50" s="3" t="s">
        <v>73</v>
      </c>
      <c r="AJ50" s="3" t="s">
        <v>74</v>
      </c>
      <c r="AK50" s="3" t="s">
        <v>75</v>
      </c>
      <c r="AL50" s="3" t="s">
        <v>76</v>
      </c>
    </row>
    <row r="51" spans="8:8" ht="18.75" customHeight="1">
      <c r="A51" s="7" t="s">
        <v>445</v>
      </c>
      <c r="B51" s="8" t="s">
        <v>392</v>
      </c>
      <c r="C51" s="8" t="s">
        <v>446</v>
      </c>
      <c r="D51" s="8" t="s">
        <v>447</v>
      </c>
      <c r="E51" s="8" t="s">
        <v>439</v>
      </c>
      <c r="F51" s="8" t="s">
        <v>448</v>
      </c>
      <c r="G51" s="8" t="s">
        <v>449</v>
      </c>
      <c r="H51" s="8" t="s">
        <v>189</v>
      </c>
      <c r="I51" s="9">
        <v>170.0</v>
      </c>
      <c r="J51" s="9">
        <v>1340.0</v>
      </c>
      <c r="K51" s="10">
        <v>1336.4</v>
      </c>
      <c r="L51" s="8" t="s">
        <v>171</v>
      </c>
      <c r="M51" s="8" t="s">
        <v>442</v>
      </c>
      <c r="N51" s="8" t="s">
        <v>398</v>
      </c>
      <c r="O51" s="9">
        <v>80.0</v>
      </c>
      <c r="P51" s="10">
        <v>1189.4</v>
      </c>
      <c r="Q51" s="10">
        <v>93.5</v>
      </c>
      <c r="R51" s="11">
        <v>26.7</v>
      </c>
      <c r="S51" s="11">
        <v>26.8</v>
      </c>
      <c r="T51" s="8" t="s">
        <v>450</v>
      </c>
      <c r="U51" s="11">
        <v>7.6</v>
      </c>
      <c r="V51" s="11">
        <v>2.9</v>
      </c>
      <c r="W51" s="11">
        <f>U51-V51</f>
        <v>4.699999999999999</v>
      </c>
      <c r="X51" s="11">
        <v>6.0</v>
      </c>
      <c r="Y51" s="9">
        <v>3650.0</v>
      </c>
      <c r="Z51" s="10">
        <v>1503.8</v>
      </c>
      <c r="AA51" s="11">
        <v>41.2</v>
      </c>
      <c r="AB51" s="8" t="s">
        <v>50</v>
      </c>
      <c r="AC51" s="10">
        <v>917.8</v>
      </c>
      <c r="AD51" s="10">
        <v>309.6</v>
      </c>
      <c r="AE51" s="10">
        <f>AC51+AD51</f>
        <v>1227.4</v>
      </c>
      <c r="AF51" s="10">
        <v>901.7</v>
      </c>
      <c r="AG51" s="10">
        <v>321.5</v>
      </c>
      <c r="AH51" s="10">
        <v>80.7</v>
      </c>
      <c r="AI51" s="8" t="s">
        <v>175</v>
      </c>
      <c r="AJ51" s="8" t="s">
        <v>176</v>
      </c>
      <c r="AK51" s="8" t="s">
        <v>155</v>
      </c>
      <c r="AL51" s="8" t="s">
        <v>177</v>
      </c>
    </row>
    <row r="52" spans="8:8" ht="18.75" customHeight="1">
      <c r="A52" s="2" t="s">
        <v>451</v>
      </c>
      <c r="B52" s="3" t="s">
        <v>452</v>
      </c>
      <c r="C52" s="3" t="s">
        <v>453</v>
      </c>
      <c r="D52" s="3" t="s">
        <v>408</v>
      </c>
      <c r="E52" s="3" t="s">
        <v>454</v>
      </c>
      <c r="F52" s="3" t="s">
        <v>455</v>
      </c>
      <c r="G52" s="3" t="s">
        <v>430</v>
      </c>
      <c r="H52" s="3" t="s">
        <v>182</v>
      </c>
      <c r="I52" s="4">
        <v>190.0</v>
      </c>
      <c r="J52" s="4">
        <v>920.0</v>
      </c>
      <c r="K52" s="5">
        <v>922.5</v>
      </c>
      <c r="L52" s="3" t="s">
        <v>171</v>
      </c>
      <c r="M52" s="3" t="s">
        <v>456</v>
      </c>
      <c r="N52" s="3" t="s">
        <v>457</v>
      </c>
      <c r="O52" s="4">
        <v>54.0</v>
      </c>
      <c r="P52" s="5">
        <v>839.5</v>
      </c>
      <c r="Q52" s="6">
        <v>46.1</v>
      </c>
      <c r="R52" s="6">
        <v>18.4</v>
      </c>
      <c r="S52" s="6">
        <v>18.5</v>
      </c>
      <c r="T52" s="3" t="s">
        <v>458</v>
      </c>
      <c r="U52" s="6">
        <v>16.8</v>
      </c>
      <c r="V52" s="6">
        <v>8.9</v>
      </c>
      <c r="W52" s="6">
        <f>U52-V52</f>
        <v>7.9</v>
      </c>
      <c r="X52" s="6">
        <v>3.0</v>
      </c>
      <c r="Y52" s="4">
        <v>4850.0</v>
      </c>
      <c r="Z52" s="5">
        <v>4287.4</v>
      </c>
      <c r="AA52" s="5">
        <v>88.4</v>
      </c>
      <c r="AB52" s="3" t="s">
        <v>106</v>
      </c>
      <c r="AC52" s="5">
        <v>632.2</v>
      </c>
      <c r="AD52" s="5">
        <v>216.8</v>
      </c>
      <c r="AE52" s="5">
        <f>AC52+AD52</f>
        <v>849.0</v>
      </c>
      <c r="AF52" s="5">
        <v>635.9</v>
      </c>
      <c r="AG52" s="5">
        <v>242.3</v>
      </c>
      <c r="AH52" s="5">
        <v>56.3</v>
      </c>
      <c r="AI52" s="3" t="s">
        <v>136</v>
      </c>
      <c r="AJ52" s="3" t="s">
        <v>137</v>
      </c>
      <c r="AK52" s="3" t="s">
        <v>75</v>
      </c>
      <c r="AL52" s="3" t="s">
        <v>138</v>
      </c>
    </row>
    <row r="53" spans="8:8" ht="18.75" customHeight="1">
      <c r="A53" s="7" t="s">
        <v>459</v>
      </c>
      <c r="B53" s="8" t="s">
        <v>452</v>
      </c>
      <c r="C53" s="8" t="s">
        <v>460</v>
      </c>
      <c r="D53" s="8" t="s">
        <v>461</v>
      </c>
      <c r="E53" s="8" t="s">
        <v>454</v>
      </c>
      <c r="F53" s="8" t="s">
        <v>462</v>
      </c>
      <c r="G53" s="8" t="s">
        <v>463</v>
      </c>
      <c r="H53" s="8" t="s">
        <v>104</v>
      </c>
      <c r="I53" s="9">
        <v>175.0</v>
      </c>
      <c r="J53" s="9">
        <v>795.0</v>
      </c>
      <c r="K53" s="10">
        <v>791.3</v>
      </c>
      <c r="L53" s="8" t="s">
        <v>171</v>
      </c>
      <c r="M53" s="8" t="s">
        <v>464</v>
      </c>
      <c r="N53" s="8" t="s">
        <v>457</v>
      </c>
      <c r="O53" s="9">
        <v>47.0</v>
      </c>
      <c r="P53" s="10">
        <v>712.2</v>
      </c>
      <c r="Q53" s="11">
        <v>47.5</v>
      </c>
      <c r="R53" s="11">
        <v>7.9</v>
      </c>
      <c r="S53" s="11">
        <v>23.7</v>
      </c>
      <c r="T53" s="8" t="s">
        <v>465</v>
      </c>
      <c r="U53" s="11">
        <v>13.4</v>
      </c>
      <c r="V53" s="11">
        <v>6.5</v>
      </c>
      <c r="W53" s="11">
        <f>U53-V53</f>
        <v>6.9</v>
      </c>
      <c r="X53" s="11">
        <v>4.5</v>
      </c>
      <c r="Y53" s="9">
        <v>2450.0</v>
      </c>
      <c r="Z53" s="10">
        <v>1764.0</v>
      </c>
      <c r="AA53" s="10">
        <v>72.0</v>
      </c>
      <c r="AB53" s="8" t="s">
        <v>106</v>
      </c>
      <c r="AC53" s="10">
        <v>542.4</v>
      </c>
      <c r="AD53" s="10">
        <v>284.1</v>
      </c>
      <c r="AE53" s="10">
        <f>AC53+AD53</f>
        <v>826.5</v>
      </c>
      <c r="AF53" s="10">
        <v>569.5</v>
      </c>
      <c r="AG53" s="10">
        <v>262.4</v>
      </c>
      <c r="AH53" s="10">
        <v>73.4</v>
      </c>
      <c r="AI53" s="8" t="s">
        <v>175</v>
      </c>
      <c r="AJ53" s="8" t="s">
        <v>176</v>
      </c>
      <c r="AK53" s="8" t="s">
        <v>155</v>
      </c>
      <c r="AL53" s="8" t="s">
        <v>177</v>
      </c>
    </row>
    <row r="54" spans="8:8" ht="18.75" customHeight="1">
      <c r="A54" s="2" t="s">
        <v>466</v>
      </c>
      <c r="B54" s="3" t="s">
        <v>452</v>
      </c>
      <c r="C54" s="3" t="s">
        <v>467</v>
      </c>
      <c r="D54" s="3" t="s">
        <v>461</v>
      </c>
      <c r="E54" s="3" t="s">
        <v>454</v>
      </c>
      <c r="F54" s="3" t="s">
        <v>468</v>
      </c>
      <c r="G54" s="3" t="s">
        <v>469</v>
      </c>
      <c r="H54" s="3" t="s">
        <v>182</v>
      </c>
      <c r="I54" s="4">
        <v>205.0</v>
      </c>
      <c r="J54" s="4">
        <v>1210.0</v>
      </c>
      <c r="K54" s="5">
        <v>1195.5</v>
      </c>
      <c r="L54" s="3" t="s">
        <v>171</v>
      </c>
      <c r="M54" s="3" t="s">
        <v>456</v>
      </c>
      <c r="N54" s="3" t="s">
        <v>457</v>
      </c>
      <c r="O54" s="4">
        <v>73.0</v>
      </c>
      <c r="P54" s="5">
        <v>1076.0</v>
      </c>
      <c r="Q54" s="5">
        <v>59.8</v>
      </c>
      <c r="R54" s="6">
        <v>35.9</v>
      </c>
      <c r="S54" s="6">
        <v>23.8</v>
      </c>
      <c r="T54" s="3" t="s">
        <v>470</v>
      </c>
      <c r="U54" s="6">
        <v>8.2</v>
      </c>
      <c r="V54" s="6">
        <v>3.4</v>
      </c>
      <c r="W54" s="6">
        <f>U54-V54</f>
        <v>4.799999999999999</v>
      </c>
      <c r="X54" s="6">
        <v>14.0</v>
      </c>
      <c r="Y54" s="4">
        <v>4120.0</v>
      </c>
      <c r="Z54" s="5">
        <v>2327.8</v>
      </c>
      <c r="AA54" s="5">
        <v>56.5</v>
      </c>
      <c r="AB54" s="3" t="s">
        <v>50</v>
      </c>
      <c r="AC54" s="5">
        <v>820.2</v>
      </c>
      <c r="AD54" s="5">
        <v>737.8</v>
      </c>
      <c r="AE54" s="5">
        <f>AC54+AD54</f>
        <v>1558.0</v>
      </c>
      <c r="AF54" s="5">
        <v>953.0</v>
      </c>
      <c r="AG54" s="5">
        <v>532.9</v>
      </c>
      <c r="AH54" s="5">
        <v>164.3</v>
      </c>
      <c r="AI54" s="3" t="s">
        <v>471</v>
      </c>
      <c r="AJ54" s="3" t="s">
        <v>472</v>
      </c>
      <c r="AK54" s="3" t="s">
        <v>75</v>
      </c>
      <c r="AL54" s="3" t="s">
        <v>473</v>
      </c>
    </row>
    <row r="55" spans="8:8" ht="18.75" customHeight="1">
      <c r="A55" s="7" t="s">
        <v>474</v>
      </c>
      <c r="B55" s="8" t="s">
        <v>452</v>
      </c>
      <c r="C55" s="8" t="s">
        <v>475</v>
      </c>
      <c r="D55" s="8" t="s">
        <v>461</v>
      </c>
      <c r="E55" s="8" t="s">
        <v>454</v>
      </c>
      <c r="F55" s="8" t="s">
        <v>476</v>
      </c>
      <c r="G55" s="8" t="s">
        <v>477</v>
      </c>
      <c r="H55" s="8" t="s">
        <v>182</v>
      </c>
      <c r="I55" s="9">
        <v>185.0</v>
      </c>
      <c r="J55" s="9">
        <v>1130.0</v>
      </c>
      <c r="K55" s="10">
        <v>1122.5</v>
      </c>
      <c r="L55" s="8" t="s">
        <v>171</v>
      </c>
      <c r="M55" s="8" t="s">
        <v>478</v>
      </c>
      <c r="N55" s="8" t="s">
        <v>479</v>
      </c>
      <c r="O55" s="9">
        <v>69.0</v>
      </c>
      <c r="P55" s="10">
        <v>1010.2</v>
      </c>
      <c r="Q55" s="10">
        <v>56.1</v>
      </c>
      <c r="R55" s="11">
        <v>33.7</v>
      </c>
      <c r="S55" s="11">
        <v>22.5</v>
      </c>
      <c r="T55" s="8" t="s">
        <v>480</v>
      </c>
      <c r="U55" s="11">
        <v>11.6</v>
      </c>
      <c r="V55" s="11">
        <v>5.2</v>
      </c>
      <c r="W55" s="11">
        <f>U55-V55</f>
        <v>6.3999999999999995</v>
      </c>
      <c r="X55" s="11">
        <v>4.0</v>
      </c>
      <c r="Y55" s="9">
        <v>4650.0</v>
      </c>
      <c r="Z55" s="10">
        <v>3162.0</v>
      </c>
      <c r="AA55" s="10">
        <v>68.0</v>
      </c>
      <c r="AB55" s="8" t="s">
        <v>50</v>
      </c>
      <c r="AC55" s="10">
        <v>770.0</v>
      </c>
      <c r="AD55" s="10">
        <v>281.1</v>
      </c>
      <c r="AE55" s="10">
        <f>AC55+AD55</f>
        <v>1051.1</v>
      </c>
      <c r="AF55" s="10">
        <v>771.2</v>
      </c>
      <c r="AG55" s="10">
        <v>291.2</v>
      </c>
      <c r="AH55" s="10">
        <v>71.9</v>
      </c>
      <c r="AI55" s="8" t="s">
        <v>73</v>
      </c>
      <c r="AJ55" s="8" t="s">
        <v>74</v>
      </c>
      <c r="AK55" s="8" t="s">
        <v>75</v>
      </c>
      <c r="AL55" s="8" t="s">
        <v>76</v>
      </c>
    </row>
    <row r="56" spans="8:8" ht="18.75" customHeight="1">
      <c r="A56" s="2" t="s">
        <v>481</v>
      </c>
      <c r="B56" s="3" t="s">
        <v>452</v>
      </c>
      <c r="C56" s="3" t="s">
        <v>482</v>
      </c>
      <c r="D56" s="3" t="s">
        <v>461</v>
      </c>
      <c r="E56" s="3" t="s">
        <v>454</v>
      </c>
      <c r="F56" s="3" t="s">
        <v>483</v>
      </c>
      <c r="G56" s="3" t="s">
        <v>484</v>
      </c>
      <c r="H56" s="3" t="s">
        <v>404</v>
      </c>
      <c r="I56" s="4">
        <v>155.0</v>
      </c>
      <c r="J56" s="4">
        <v>740.0</v>
      </c>
      <c r="K56" s="5">
        <v>729.6</v>
      </c>
      <c r="L56" s="3" t="s">
        <v>171</v>
      </c>
      <c r="M56" s="3" t="s">
        <v>485</v>
      </c>
      <c r="N56" s="3" t="s">
        <v>486</v>
      </c>
      <c r="O56" s="4">
        <v>43.0</v>
      </c>
      <c r="P56" s="5">
        <v>649.3</v>
      </c>
      <c r="Q56" s="6">
        <v>36.5</v>
      </c>
      <c r="R56" s="6">
        <v>29.2</v>
      </c>
      <c r="S56" s="6">
        <v>14.6</v>
      </c>
      <c r="T56" s="3" t="s">
        <v>487</v>
      </c>
      <c r="U56" s="6">
        <v>14.2</v>
      </c>
      <c r="V56" s="6">
        <v>7.8</v>
      </c>
      <c r="W56" s="6">
        <f>U56-V56</f>
        <v>6.3999999999999995</v>
      </c>
      <c r="X56" s="6">
        <v>11.0</v>
      </c>
      <c r="Y56" s="4">
        <v>3580.0</v>
      </c>
      <c r="Z56" s="5">
        <v>2298.4</v>
      </c>
      <c r="AA56" s="5">
        <v>64.2</v>
      </c>
      <c r="AB56" s="3" t="s">
        <v>50</v>
      </c>
      <c r="AC56" s="5">
        <v>501.0</v>
      </c>
      <c r="AD56" s="5">
        <v>773.0</v>
      </c>
      <c r="AE56" s="5">
        <f>AC56+AD56</f>
        <v>1274.0</v>
      </c>
      <c r="AF56" s="5">
        <v>673.4</v>
      </c>
      <c r="AG56" s="5">
        <v>505.6</v>
      </c>
      <c r="AH56" s="5">
        <v>164.8</v>
      </c>
      <c r="AI56" s="3" t="s">
        <v>488</v>
      </c>
      <c r="AJ56" s="3" t="s">
        <v>489</v>
      </c>
      <c r="AK56" s="3" t="s">
        <v>490</v>
      </c>
      <c r="AL56" s="3" t="s">
        <v>491</v>
      </c>
    </row>
    <row r="57" spans="8:8" ht="18.75" customHeight="1">
      <c r="A57" s="7" t="s">
        <v>492</v>
      </c>
      <c r="B57" s="8" t="s">
        <v>452</v>
      </c>
      <c r="C57" s="8" t="s">
        <v>493</v>
      </c>
      <c r="D57" s="8" t="s">
        <v>461</v>
      </c>
      <c r="E57" s="8" t="s">
        <v>494</v>
      </c>
      <c r="F57" s="8" t="s">
        <v>495</v>
      </c>
      <c r="G57" s="8" t="s">
        <v>496</v>
      </c>
      <c r="H57" s="8" t="s">
        <v>189</v>
      </c>
      <c r="I57" s="9">
        <v>140.0</v>
      </c>
      <c r="J57" s="9">
        <v>885.0</v>
      </c>
      <c r="K57" s="10">
        <v>877.3</v>
      </c>
      <c r="L57" s="8" t="s">
        <v>171</v>
      </c>
      <c r="M57" s="8" t="s">
        <v>497</v>
      </c>
      <c r="N57" s="8" t="s">
        <v>498</v>
      </c>
      <c r="O57" s="9">
        <v>51.0</v>
      </c>
      <c r="P57" s="10">
        <v>780.8</v>
      </c>
      <c r="Q57" s="11">
        <v>43.9</v>
      </c>
      <c r="R57" s="11">
        <v>35.1</v>
      </c>
      <c r="S57" s="11">
        <v>17.5</v>
      </c>
      <c r="T57" s="8" t="s">
        <v>499</v>
      </c>
      <c r="U57" s="11">
        <v>13.8</v>
      </c>
      <c r="V57" s="11">
        <v>6.9</v>
      </c>
      <c r="W57" s="11">
        <f>U57-V57</f>
        <v>6.9</v>
      </c>
      <c r="X57" s="11">
        <v>2.8</v>
      </c>
      <c r="Y57" s="9">
        <v>2240.0</v>
      </c>
      <c r="Z57" s="10">
        <v>1601.6</v>
      </c>
      <c r="AA57" s="10">
        <v>71.5</v>
      </c>
      <c r="AB57" s="8" t="s">
        <v>106</v>
      </c>
      <c r="AC57" s="10">
        <v>602.3</v>
      </c>
      <c r="AD57" s="10">
        <v>176.8</v>
      </c>
      <c r="AE57" s="10">
        <f>AC57+AD57</f>
        <v>779.0999999999999</v>
      </c>
      <c r="AF57" s="10">
        <v>583.9</v>
      </c>
      <c r="AG57" s="10">
        <v>210.6</v>
      </c>
      <c r="AH57" s="11">
        <v>47.6</v>
      </c>
      <c r="AI57" s="8" t="s">
        <v>153</v>
      </c>
      <c r="AJ57" s="8" t="s">
        <v>154</v>
      </c>
      <c r="AK57" s="8" t="s">
        <v>155</v>
      </c>
      <c r="AL57" s="8" t="s">
        <v>156</v>
      </c>
    </row>
    <row r="58" spans="8:8" ht="18.75" customHeight="1">
      <c r="A58" s="2" t="s">
        <v>500</v>
      </c>
      <c r="B58" s="3" t="s">
        <v>452</v>
      </c>
      <c r="C58" s="3" t="s">
        <v>501</v>
      </c>
      <c r="D58" s="3" t="s">
        <v>461</v>
      </c>
      <c r="E58" s="3" t="s">
        <v>494</v>
      </c>
      <c r="F58" s="3" t="s">
        <v>502</v>
      </c>
      <c r="G58" s="3" t="s">
        <v>503</v>
      </c>
      <c r="H58" s="3" t="s">
        <v>504</v>
      </c>
      <c r="I58" s="4">
        <v>160.0</v>
      </c>
      <c r="J58" s="4">
        <v>1090.0</v>
      </c>
      <c r="K58" s="5">
        <v>1086.4</v>
      </c>
      <c r="L58" s="3" t="s">
        <v>171</v>
      </c>
      <c r="M58" s="3" t="s">
        <v>478</v>
      </c>
      <c r="N58" s="3" t="s">
        <v>479</v>
      </c>
      <c r="O58" s="4">
        <v>67.0</v>
      </c>
      <c r="P58" s="5">
        <v>945.2</v>
      </c>
      <c r="Q58" s="5">
        <v>65.2</v>
      </c>
      <c r="R58" s="6">
        <v>43.5</v>
      </c>
      <c r="S58" s="6">
        <v>32.5</v>
      </c>
      <c r="T58" s="3" t="s">
        <v>505</v>
      </c>
      <c r="U58" s="6">
        <v>11.2</v>
      </c>
      <c r="V58" s="6">
        <v>5.1</v>
      </c>
      <c r="W58" s="6">
        <f>U58-V58</f>
        <v>6.1</v>
      </c>
      <c r="X58" s="6">
        <v>4.5</v>
      </c>
      <c r="Y58" s="4">
        <v>3120.0</v>
      </c>
      <c r="Z58" s="5">
        <v>1822.1</v>
      </c>
      <c r="AA58" s="5">
        <v>58.4</v>
      </c>
      <c r="AB58" s="3" t="s">
        <v>50</v>
      </c>
      <c r="AC58" s="5">
        <v>747.0</v>
      </c>
      <c r="AD58" s="5">
        <v>301.4</v>
      </c>
      <c r="AE58" s="5">
        <f>AC58+AD58</f>
        <v>1048.4</v>
      </c>
      <c r="AF58" s="5">
        <v>733.1</v>
      </c>
      <c r="AG58" s="5">
        <v>304.2</v>
      </c>
      <c r="AH58" s="5">
        <v>83.1</v>
      </c>
      <c r="AI58" s="3" t="s">
        <v>175</v>
      </c>
      <c r="AJ58" s="3" t="s">
        <v>176</v>
      </c>
      <c r="AK58" s="3" t="s">
        <v>155</v>
      </c>
      <c r="AL58" s="3" t="s">
        <v>177</v>
      </c>
    </row>
    <row r="59" spans="8:8" ht="18.75" customHeight="1">
      <c r="A59" s="7" t="s">
        <v>506</v>
      </c>
      <c r="B59" s="8" t="s">
        <v>452</v>
      </c>
      <c r="C59" s="8" t="s">
        <v>507</v>
      </c>
      <c r="D59" s="8" t="s">
        <v>461</v>
      </c>
      <c r="E59" s="8" t="s">
        <v>494</v>
      </c>
      <c r="F59" s="8" t="s">
        <v>508</v>
      </c>
      <c r="G59" s="8" t="s">
        <v>509</v>
      </c>
      <c r="H59" s="8" t="s">
        <v>504</v>
      </c>
      <c r="I59" s="9">
        <v>150.0</v>
      </c>
      <c r="J59" s="9">
        <v>1080.0</v>
      </c>
      <c r="K59" s="10">
        <v>1082.2</v>
      </c>
      <c r="L59" s="8" t="s">
        <v>171</v>
      </c>
      <c r="M59" s="8" t="s">
        <v>464</v>
      </c>
      <c r="N59" s="8" t="s">
        <v>510</v>
      </c>
      <c r="O59" s="9">
        <v>66.0</v>
      </c>
      <c r="P59" s="10">
        <v>930.7</v>
      </c>
      <c r="Q59" s="10">
        <v>75.8</v>
      </c>
      <c r="R59" s="11">
        <v>43.3</v>
      </c>
      <c r="S59" s="11">
        <v>32.4</v>
      </c>
      <c r="T59" s="8" t="s">
        <v>511</v>
      </c>
      <c r="U59" s="11">
        <v>10.8</v>
      </c>
      <c r="V59" s="11">
        <v>4.8</v>
      </c>
      <c r="W59" s="11">
        <f>U59-V59</f>
        <v>6.000000000000001</v>
      </c>
      <c r="X59" s="11">
        <v>4.2</v>
      </c>
      <c r="Y59" s="9">
        <v>2560.0</v>
      </c>
      <c r="Z59" s="10">
        <v>1587.2</v>
      </c>
      <c r="AA59" s="10">
        <v>62.0</v>
      </c>
      <c r="AB59" s="8" t="s">
        <v>50</v>
      </c>
      <c r="AC59" s="10">
        <v>744.9</v>
      </c>
      <c r="AD59" s="10">
        <v>276.7</v>
      </c>
      <c r="AE59" s="10">
        <f>AC59+AD59</f>
        <v>1021.5999999999999</v>
      </c>
      <c r="AF59" s="10">
        <v>715.9</v>
      </c>
      <c r="AG59" s="10">
        <v>295.1</v>
      </c>
      <c r="AH59" s="10">
        <v>78.0</v>
      </c>
      <c r="AI59" s="8" t="s">
        <v>175</v>
      </c>
      <c r="AJ59" s="8" t="s">
        <v>176</v>
      </c>
      <c r="AK59" s="8" t="s">
        <v>155</v>
      </c>
      <c r="AL59" s="8" t="s">
        <v>177</v>
      </c>
    </row>
    <row r="60" spans="8:8" ht="18.75" customHeight="1">
      <c r="A60" s="2" t="s">
        <v>512</v>
      </c>
      <c r="B60" s="3" t="s">
        <v>452</v>
      </c>
      <c r="C60" s="3" t="s">
        <v>513</v>
      </c>
      <c r="D60" s="3" t="s">
        <v>461</v>
      </c>
      <c r="E60" s="3" t="s">
        <v>454</v>
      </c>
      <c r="F60" s="3" t="s">
        <v>514</v>
      </c>
      <c r="G60" s="3" t="s">
        <v>515</v>
      </c>
      <c r="H60" s="3" t="s">
        <v>243</v>
      </c>
      <c r="I60" s="4">
        <v>110.0</v>
      </c>
      <c r="J60" s="4">
        <v>815.0</v>
      </c>
      <c r="K60" s="5">
        <v>810.7</v>
      </c>
      <c r="L60" s="3" t="s">
        <v>171</v>
      </c>
      <c r="M60" s="3" t="s">
        <v>456</v>
      </c>
      <c r="N60" s="3" t="s">
        <v>498</v>
      </c>
      <c r="O60" s="4">
        <v>48.0</v>
      </c>
      <c r="P60" s="5">
        <v>745.8</v>
      </c>
      <c r="Q60" s="6">
        <v>40.5</v>
      </c>
      <c r="R60" s="6">
        <v>8.1</v>
      </c>
      <c r="S60" s="6">
        <v>16.3</v>
      </c>
      <c r="T60" s="3" t="s">
        <v>516</v>
      </c>
      <c r="U60" s="6">
        <v>12.5</v>
      </c>
      <c r="V60" s="6">
        <v>5.9</v>
      </c>
      <c r="W60" s="6">
        <f>U60-V60</f>
        <v>6.6</v>
      </c>
      <c r="X60" s="6">
        <v>2.5</v>
      </c>
      <c r="Y60" s="4">
        <v>980.0</v>
      </c>
      <c r="Z60" s="5">
        <v>509.6</v>
      </c>
      <c r="AA60" s="5">
        <v>52.0</v>
      </c>
      <c r="AB60" s="3" t="s">
        <v>50</v>
      </c>
      <c r="AC60" s="5">
        <v>555.0</v>
      </c>
      <c r="AD60" s="5">
        <v>181.2</v>
      </c>
      <c r="AE60" s="5">
        <f>AC60+AD60</f>
        <v>736.2</v>
      </c>
      <c r="AF60" s="5">
        <v>561.5</v>
      </c>
      <c r="AG60" s="5">
        <v>176.6</v>
      </c>
      <c r="AH60" s="6">
        <v>47.6</v>
      </c>
      <c r="AI60" s="3" t="s">
        <v>153</v>
      </c>
      <c r="AJ60" s="3" t="s">
        <v>154</v>
      </c>
      <c r="AK60" s="3" t="s">
        <v>155</v>
      </c>
      <c r="AL60" s="3" t="s">
        <v>156</v>
      </c>
    </row>
    <row r="61" spans="8:8" ht="18.75" customHeight="1">
      <c r="A61" s="7" t="s">
        <v>517</v>
      </c>
      <c r="B61" s="8" t="s">
        <v>518</v>
      </c>
      <c r="C61" s="8" t="s">
        <v>519</v>
      </c>
      <c r="D61" s="8" t="s">
        <v>447</v>
      </c>
      <c r="E61" s="8" t="s">
        <v>518</v>
      </c>
      <c r="F61" s="8" t="s">
        <v>520</v>
      </c>
      <c r="G61" s="8" t="s">
        <v>521</v>
      </c>
      <c r="H61" s="8" t="s">
        <v>189</v>
      </c>
      <c r="I61" s="9">
        <v>165.0</v>
      </c>
      <c r="J61" s="9">
        <v>1285.0</v>
      </c>
      <c r="K61" s="10">
        <v>1285.0</v>
      </c>
      <c r="L61" s="8" t="s">
        <v>171</v>
      </c>
      <c r="M61" s="8" t="s">
        <v>464</v>
      </c>
      <c r="N61" s="8" t="s">
        <v>398</v>
      </c>
      <c r="O61" s="9">
        <v>77.0</v>
      </c>
      <c r="P61" s="10">
        <v>1130.8</v>
      </c>
      <c r="Q61" s="10">
        <v>77.1</v>
      </c>
      <c r="R61" s="11">
        <v>38.5</v>
      </c>
      <c r="S61" s="11">
        <v>38.6</v>
      </c>
      <c r="T61" s="8" t="s">
        <v>522</v>
      </c>
      <c r="U61" s="11">
        <v>8.8</v>
      </c>
      <c r="V61" s="11">
        <v>3.5</v>
      </c>
      <c r="W61" s="11">
        <f>U61-V61</f>
        <v>5.300000000000001</v>
      </c>
      <c r="X61" s="11">
        <v>5.5</v>
      </c>
      <c r="Y61" s="9">
        <v>5420.0</v>
      </c>
      <c r="Z61" s="10">
        <v>2628.7</v>
      </c>
      <c r="AA61" s="11">
        <v>48.5</v>
      </c>
      <c r="AB61" s="8" t="s">
        <v>50</v>
      </c>
      <c r="AC61" s="10">
        <v>882.6</v>
      </c>
      <c r="AD61" s="10">
        <v>320.0</v>
      </c>
      <c r="AE61" s="10">
        <f>AC61+AD61</f>
        <v>1202.6</v>
      </c>
      <c r="AF61" s="10">
        <v>864.9</v>
      </c>
      <c r="AG61" s="10">
        <v>320.9</v>
      </c>
      <c r="AH61" s="10">
        <v>91.0</v>
      </c>
      <c r="AI61" s="8" t="s">
        <v>523</v>
      </c>
      <c r="AJ61" s="8" t="s">
        <v>524</v>
      </c>
      <c r="AK61" s="8" t="s">
        <v>125</v>
      </c>
      <c r="AL61" s="8" t="s">
        <v>525</v>
      </c>
    </row>
    <row r="62" spans="8:8" ht="18.75" customHeight="1">
      <c r="A62" s="2" t="s">
        <v>526</v>
      </c>
      <c r="B62" s="3" t="s">
        <v>518</v>
      </c>
      <c r="C62" s="3" t="s">
        <v>527</v>
      </c>
      <c r="D62" s="3" t="s">
        <v>447</v>
      </c>
      <c r="E62" s="3" t="s">
        <v>518</v>
      </c>
      <c r="F62" s="3" t="s">
        <v>528</v>
      </c>
      <c r="G62" s="3" t="s">
        <v>529</v>
      </c>
      <c r="H62" s="3" t="s">
        <v>59</v>
      </c>
      <c r="I62" s="4">
        <v>145.0</v>
      </c>
      <c r="J62" s="4">
        <v>1460.0</v>
      </c>
      <c r="K62" s="5">
        <v>1449.3</v>
      </c>
      <c r="L62" s="3" t="s">
        <v>162</v>
      </c>
      <c r="M62" s="3" t="s">
        <v>172</v>
      </c>
      <c r="N62" s="3" t="s">
        <v>217</v>
      </c>
      <c r="O62" s="4">
        <v>86.0</v>
      </c>
      <c r="P62" s="5">
        <v>1231.9</v>
      </c>
      <c r="Q62" s="5">
        <v>115.9</v>
      </c>
      <c r="R62" s="6">
        <v>29.0</v>
      </c>
      <c r="S62" s="5">
        <v>72.5</v>
      </c>
      <c r="T62" s="3" t="s">
        <v>530</v>
      </c>
      <c r="U62" s="6">
        <v>7.4</v>
      </c>
      <c r="V62" s="6">
        <v>2.8</v>
      </c>
      <c r="W62" s="6">
        <f>U62-V62</f>
        <v>4.6000000000000005</v>
      </c>
      <c r="X62" s="6">
        <v>4.5</v>
      </c>
      <c r="Y62" s="4">
        <v>2890.0</v>
      </c>
      <c r="Z62" s="5">
        <v>693.6</v>
      </c>
      <c r="AA62" s="6">
        <v>24.0</v>
      </c>
      <c r="AB62" s="3" t="s">
        <v>50</v>
      </c>
      <c r="AC62" s="5">
        <v>997.2</v>
      </c>
      <c r="AD62" s="5">
        <v>227.2</v>
      </c>
      <c r="AE62" s="5">
        <f>AC62+AD62</f>
        <v>1224.4</v>
      </c>
      <c r="AF62" s="5">
        <v>905.9</v>
      </c>
      <c r="AG62" s="5">
        <v>287.5</v>
      </c>
      <c r="AH62" s="5">
        <v>96.2</v>
      </c>
      <c r="AI62" s="3" t="s">
        <v>61</v>
      </c>
      <c r="AJ62" s="3" t="s">
        <v>62</v>
      </c>
      <c r="AK62" s="3" t="s">
        <v>63</v>
      </c>
      <c r="AL62" s="3" t="s">
        <v>64</v>
      </c>
    </row>
    <row r="63" spans="8:8" ht="18.75" customHeight="1">
      <c r="A63" s="7" t="s">
        <v>531</v>
      </c>
      <c r="B63" s="8" t="s">
        <v>518</v>
      </c>
      <c r="C63" s="8" t="s">
        <v>532</v>
      </c>
      <c r="D63" s="8" t="s">
        <v>447</v>
      </c>
      <c r="E63" s="8" t="s">
        <v>518</v>
      </c>
      <c r="F63" s="8" t="s">
        <v>533</v>
      </c>
      <c r="G63" s="8" t="s">
        <v>534</v>
      </c>
      <c r="H63" s="8" t="s">
        <v>120</v>
      </c>
      <c r="I63" s="9">
        <v>135.0</v>
      </c>
      <c r="J63" s="9">
        <v>1390.0</v>
      </c>
      <c r="K63" s="10">
        <v>1369.6</v>
      </c>
      <c r="L63" s="8" t="s">
        <v>171</v>
      </c>
      <c r="M63" s="8" t="s">
        <v>456</v>
      </c>
      <c r="N63" s="8" t="s">
        <v>398</v>
      </c>
      <c r="O63" s="9">
        <v>82.0</v>
      </c>
      <c r="P63" s="10">
        <v>1191.6</v>
      </c>
      <c r="Q63" s="10">
        <v>82.2</v>
      </c>
      <c r="R63" s="10">
        <v>54.8</v>
      </c>
      <c r="S63" s="11">
        <v>41.0</v>
      </c>
      <c r="T63" s="8" t="s">
        <v>535</v>
      </c>
      <c r="U63" s="11">
        <v>8.2</v>
      </c>
      <c r="V63" s="11">
        <v>3.2</v>
      </c>
      <c r="W63" s="11">
        <f>U63-V63</f>
        <v>4.999999999999999</v>
      </c>
      <c r="X63" s="11">
        <v>5.0</v>
      </c>
      <c r="Y63" s="9">
        <v>2450.0</v>
      </c>
      <c r="Z63" s="10">
        <v>796.2</v>
      </c>
      <c r="AA63" s="11">
        <v>32.5</v>
      </c>
      <c r="AB63" s="8" t="s">
        <v>50</v>
      </c>
      <c r="AC63" s="10">
        <v>941.8</v>
      </c>
      <c r="AD63" s="10">
        <v>274.5</v>
      </c>
      <c r="AE63" s="10">
        <f>AC63+AD63</f>
        <v>1216.3</v>
      </c>
      <c r="AF63" s="10">
        <v>892.6</v>
      </c>
      <c r="AG63" s="10">
        <v>300.8</v>
      </c>
      <c r="AH63" s="10">
        <v>83.6</v>
      </c>
      <c r="AI63" s="8" t="s">
        <v>523</v>
      </c>
      <c r="AJ63" s="8" t="s">
        <v>524</v>
      </c>
      <c r="AK63" s="8" t="s">
        <v>125</v>
      </c>
      <c r="AL63" s="8" t="s">
        <v>525</v>
      </c>
    </row>
    <row r="64" spans="8:8" ht="18.75" customHeight="1">
      <c r="A64" s="2" t="s">
        <v>536</v>
      </c>
      <c r="B64" s="3" t="s">
        <v>537</v>
      </c>
      <c r="C64" s="3" t="s">
        <v>538</v>
      </c>
      <c r="D64" s="3" t="s">
        <v>539</v>
      </c>
      <c r="E64" s="3" t="s">
        <v>540</v>
      </c>
      <c r="F64" s="3" t="s">
        <v>541</v>
      </c>
      <c r="G64" s="3" t="s">
        <v>542</v>
      </c>
      <c r="H64" s="3" t="s">
        <v>543</v>
      </c>
      <c r="I64" s="4">
        <v>190.0</v>
      </c>
      <c r="J64" s="4">
        <v>1950.0</v>
      </c>
      <c r="K64" s="5">
        <v>1931.8</v>
      </c>
      <c r="L64" s="3" t="s">
        <v>397</v>
      </c>
      <c r="M64" s="3" t="s">
        <v>442</v>
      </c>
      <c r="N64" s="3" t="s">
        <v>479</v>
      </c>
      <c r="O64" s="4">
        <v>112.0</v>
      </c>
      <c r="P64" s="5">
        <v>1815.9</v>
      </c>
      <c r="Q64" s="5">
        <v>77.3</v>
      </c>
      <c r="R64" s="6">
        <v>9.7</v>
      </c>
      <c r="S64" s="6">
        <v>28.9</v>
      </c>
      <c r="T64" s="3" t="s">
        <v>544</v>
      </c>
      <c r="U64" s="6">
        <v>7.5</v>
      </c>
      <c r="V64" s="6">
        <v>2.6</v>
      </c>
      <c r="W64" s="6">
        <f>U64-V64</f>
        <v>4.9</v>
      </c>
      <c r="X64" s="6">
        <v>5.0</v>
      </c>
      <c r="Y64" s="4">
        <v>1850.0</v>
      </c>
      <c r="Z64" s="5">
        <v>703.0</v>
      </c>
      <c r="AA64" s="6">
        <v>38.0</v>
      </c>
      <c r="AB64" s="3" t="s">
        <v>50</v>
      </c>
      <c r="AC64" s="5">
        <v>1320.2</v>
      </c>
      <c r="AD64" s="5">
        <v>269.0</v>
      </c>
      <c r="AE64" s="5">
        <f>AC64+AD64</f>
        <v>1589.2</v>
      </c>
      <c r="AF64" s="5">
        <v>1315.5</v>
      </c>
      <c r="AG64" s="5">
        <v>285.2</v>
      </c>
      <c r="AH64" s="5">
        <v>74.0</v>
      </c>
      <c r="AI64" s="3" t="s">
        <v>471</v>
      </c>
      <c r="AJ64" s="3" t="s">
        <v>472</v>
      </c>
      <c r="AK64" s="3" t="s">
        <v>75</v>
      </c>
      <c r="AL64" s="3" t="s">
        <v>473</v>
      </c>
    </row>
    <row r="65" spans="8:8" ht="18.75" customHeight="1">
      <c r="A65" s="7" t="s">
        <v>545</v>
      </c>
      <c r="B65" s="8" t="s">
        <v>537</v>
      </c>
      <c r="C65" s="8" t="s">
        <v>546</v>
      </c>
      <c r="D65" s="8" t="s">
        <v>539</v>
      </c>
      <c r="E65" s="8" t="s">
        <v>540</v>
      </c>
      <c r="F65" s="8" t="s">
        <v>547</v>
      </c>
      <c r="G65" s="8" t="s">
        <v>548</v>
      </c>
      <c r="H65" s="8" t="s">
        <v>182</v>
      </c>
      <c r="I65" s="9">
        <v>195.0</v>
      </c>
      <c r="J65" s="9">
        <v>1280.0</v>
      </c>
      <c r="K65" s="10">
        <v>1274.9</v>
      </c>
      <c r="L65" s="8" t="s">
        <v>171</v>
      </c>
      <c r="M65" s="8" t="s">
        <v>464</v>
      </c>
      <c r="N65" s="8" t="s">
        <v>479</v>
      </c>
      <c r="O65" s="9">
        <v>77.0</v>
      </c>
      <c r="P65" s="10">
        <v>1185.7</v>
      </c>
      <c r="Q65" s="10">
        <v>63.7</v>
      </c>
      <c r="R65" s="11">
        <v>6.4</v>
      </c>
      <c r="S65" s="11">
        <v>19.1</v>
      </c>
      <c r="T65" s="8" t="s">
        <v>549</v>
      </c>
      <c r="U65" s="11">
        <v>9.4</v>
      </c>
      <c r="V65" s="11">
        <v>4.2</v>
      </c>
      <c r="W65" s="11">
        <f>U65-V65</f>
        <v>5.2</v>
      </c>
      <c r="X65" s="11">
        <v>10.0</v>
      </c>
      <c r="Y65" s="9">
        <v>2650.0</v>
      </c>
      <c r="Z65" s="10">
        <v>1388.6</v>
      </c>
      <c r="AA65" s="10">
        <v>52.4</v>
      </c>
      <c r="AB65" s="8" t="s">
        <v>50</v>
      </c>
      <c r="AC65" s="10">
        <v>872.3</v>
      </c>
      <c r="AD65" s="10">
        <v>571.0</v>
      </c>
      <c r="AE65" s="10">
        <f>AC65+AD65</f>
        <v>1443.3</v>
      </c>
      <c r="AF65" s="10">
        <v>977.6</v>
      </c>
      <c r="AG65" s="10">
        <v>425.9</v>
      </c>
      <c r="AH65" s="10">
        <v>127.6</v>
      </c>
      <c r="AI65" s="8" t="s">
        <v>471</v>
      </c>
      <c r="AJ65" s="8" t="s">
        <v>472</v>
      </c>
      <c r="AK65" s="8" t="s">
        <v>75</v>
      </c>
      <c r="AL65" s="8" t="s">
        <v>473</v>
      </c>
    </row>
    <row r="66" spans="8:8" ht="18.75" customHeight="1">
      <c r="A66" s="2" t="s">
        <v>550</v>
      </c>
      <c r="B66" s="3" t="s">
        <v>537</v>
      </c>
      <c r="C66" s="3" t="s">
        <v>551</v>
      </c>
      <c r="D66" s="3" t="s">
        <v>539</v>
      </c>
      <c r="E66" s="3" t="s">
        <v>540</v>
      </c>
      <c r="F66" s="3" t="s">
        <v>552</v>
      </c>
      <c r="G66" s="3" t="s">
        <v>553</v>
      </c>
      <c r="H66" s="3" t="s">
        <v>504</v>
      </c>
      <c r="I66" s="4">
        <v>165.0</v>
      </c>
      <c r="J66" s="4">
        <v>910.0</v>
      </c>
      <c r="K66" s="5">
        <v>899.7</v>
      </c>
      <c r="L66" s="3" t="s">
        <v>171</v>
      </c>
      <c r="M66" s="3" t="s">
        <v>554</v>
      </c>
      <c r="N66" s="3" t="s">
        <v>498</v>
      </c>
      <c r="O66" s="4">
        <v>53.0</v>
      </c>
      <c r="P66" s="5">
        <v>836.7</v>
      </c>
      <c r="Q66" s="6">
        <v>45.0</v>
      </c>
      <c r="R66" s="6">
        <v>4.5</v>
      </c>
      <c r="S66" s="6">
        <v>13.5</v>
      </c>
      <c r="T66" s="3" t="s">
        <v>555</v>
      </c>
      <c r="U66" s="6">
        <v>14.8</v>
      </c>
      <c r="V66" s="6">
        <v>8.5</v>
      </c>
      <c r="W66" s="6">
        <f>U66-V66</f>
        <v>6.300000000000001</v>
      </c>
      <c r="X66" s="6">
        <v>14.0</v>
      </c>
      <c r="Y66" s="4">
        <v>3420.0</v>
      </c>
      <c r="Z66" s="5">
        <v>2342.7</v>
      </c>
      <c r="AA66" s="5">
        <v>68.5</v>
      </c>
      <c r="AB66" s="3" t="s">
        <v>50</v>
      </c>
      <c r="AC66" s="5">
        <v>615.5</v>
      </c>
      <c r="AD66" s="5">
        <v>968.4</v>
      </c>
      <c r="AE66" s="5">
        <f>AC66+AD66</f>
        <v>1583.9</v>
      </c>
      <c r="AF66" s="5">
        <v>859.5</v>
      </c>
      <c r="AG66" s="5">
        <v>595.5</v>
      </c>
      <c r="AH66" s="5">
        <v>203.1</v>
      </c>
      <c r="AI66" s="3" t="s">
        <v>363</v>
      </c>
      <c r="AJ66" s="3" t="s">
        <v>364</v>
      </c>
      <c r="AK66" s="3" t="s">
        <v>155</v>
      </c>
      <c r="AL66" s="3" t="s">
        <v>365</v>
      </c>
    </row>
    <row r="67" spans="8:8" ht="18.75" customHeight="1">
      <c r="A67" s="7" t="s">
        <v>556</v>
      </c>
      <c r="B67" s="8" t="s">
        <v>537</v>
      </c>
      <c r="C67" s="8" t="s">
        <v>557</v>
      </c>
      <c r="D67" s="8" t="s">
        <v>539</v>
      </c>
      <c r="E67" s="8" t="s">
        <v>540</v>
      </c>
      <c r="F67" s="8" t="s">
        <v>558</v>
      </c>
      <c r="G67" s="8" t="s">
        <v>559</v>
      </c>
      <c r="H67" s="8" t="s">
        <v>560</v>
      </c>
      <c r="I67" s="9">
        <v>110.0</v>
      </c>
      <c r="J67" s="9">
        <v>645.0</v>
      </c>
      <c r="K67" s="10">
        <v>641.1</v>
      </c>
      <c r="L67" s="8" t="s">
        <v>561</v>
      </c>
      <c r="M67" s="8" t="s">
        <v>485</v>
      </c>
      <c r="N67" s="8" t="s">
        <v>562</v>
      </c>
      <c r="O67" s="9">
        <v>39.0</v>
      </c>
      <c r="P67" s="10">
        <v>596.2</v>
      </c>
      <c r="Q67" s="11">
        <v>25.6</v>
      </c>
      <c r="R67" s="11">
        <v>6.4</v>
      </c>
      <c r="S67" s="11">
        <v>12.9</v>
      </c>
      <c r="T67" s="8" t="s">
        <v>563</v>
      </c>
      <c r="U67" s="11">
        <v>38.5</v>
      </c>
      <c r="V67" s="11">
        <v>31.2</v>
      </c>
      <c r="W67" s="11">
        <f>U67-V67</f>
        <v>7.300000000000001</v>
      </c>
      <c r="X67" s="11">
        <v>12.0</v>
      </c>
      <c r="Y67" s="9">
        <v>4120.0</v>
      </c>
      <c r="Z67" s="10">
        <v>4721.5</v>
      </c>
      <c r="AA67" s="10">
        <v>114.6</v>
      </c>
      <c r="AB67" s="8" t="s">
        <v>238</v>
      </c>
      <c r="AC67" s="10">
        <v>438.4</v>
      </c>
      <c r="AD67" s="10">
        <v>374.0</v>
      </c>
      <c r="AE67" s="10">
        <f>AC67+AD67</f>
        <v>812.4</v>
      </c>
      <c r="AF67" s="10">
        <v>517.6</v>
      </c>
      <c r="AG67" s="10">
        <v>260.5</v>
      </c>
      <c r="AH67" s="10">
        <v>83.8</v>
      </c>
      <c r="AI67" s="8" t="s">
        <v>564</v>
      </c>
      <c r="AJ67" s="8" t="s">
        <v>565</v>
      </c>
      <c r="AK67" s="8" t="s">
        <v>490</v>
      </c>
      <c r="AL67" s="8" t="s">
        <v>566</v>
      </c>
    </row>
    <row r="68" spans="8:8" ht="18.75" customHeight="1">
      <c r="A68" s="2" t="s">
        <v>567</v>
      </c>
      <c r="B68" s="3" t="s">
        <v>537</v>
      </c>
      <c r="C68" s="3" t="s">
        <v>568</v>
      </c>
      <c r="D68" s="3" t="s">
        <v>539</v>
      </c>
      <c r="E68" s="3" t="s">
        <v>540</v>
      </c>
      <c r="F68" s="3" t="s">
        <v>569</v>
      </c>
      <c r="G68" s="3" t="s">
        <v>570</v>
      </c>
      <c r="H68" s="3" t="s">
        <v>571</v>
      </c>
      <c r="I68" s="4">
        <v>160.0</v>
      </c>
      <c r="J68" s="4">
        <v>680.0</v>
      </c>
      <c r="K68" s="5">
        <v>679.5</v>
      </c>
      <c r="L68" s="3" t="s">
        <v>171</v>
      </c>
      <c r="M68" s="3" t="s">
        <v>497</v>
      </c>
      <c r="N68" s="3" t="s">
        <v>486</v>
      </c>
      <c r="O68" s="4">
        <v>41.0</v>
      </c>
      <c r="P68" s="5">
        <v>625.1</v>
      </c>
      <c r="Q68" s="6">
        <v>34.0</v>
      </c>
      <c r="R68" s="6">
        <v>6.8</v>
      </c>
      <c r="S68" s="6">
        <v>13.6</v>
      </c>
      <c r="T68" s="3" t="s">
        <v>572</v>
      </c>
      <c r="U68" s="6">
        <v>9.8</v>
      </c>
      <c r="V68" s="6">
        <v>4.5</v>
      </c>
      <c r="W68" s="6">
        <f>U68-V68</f>
        <v>5.300000000000001</v>
      </c>
      <c r="X68" s="6">
        <v>7.0</v>
      </c>
      <c r="Y68" s="4">
        <v>1150.0</v>
      </c>
      <c r="Z68" s="5">
        <v>621.0</v>
      </c>
      <c r="AA68" s="5">
        <v>54.0</v>
      </c>
      <c r="AB68" s="3" t="s">
        <v>50</v>
      </c>
      <c r="AC68" s="5">
        <v>465.2</v>
      </c>
      <c r="AD68" s="5">
        <v>407.3</v>
      </c>
      <c r="AE68" s="5">
        <f>AC68+AD68</f>
        <v>872.5</v>
      </c>
      <c r="AF68" s="5">
        <v>547.3</v>
      </c>
      <c r="AG68" s="5">
        <v>306.3</v>
      </c>
      <c r="AH68" s="5">
        <v>91.0</v>
      </c>
      <c r="AI68" s="3" t="s">
        <v>573</v>
      </c>
      <c r="AJ68" s="3" t="s">
        <v>574</v>
      </c>
      <c r="AK68" s="3" t="s">
        <v>229</v>
      </c>
      <c r="AL68" s="3" t="s">
        <v>575</v>
      </c>
    </row>
    <row r="69" spans="8:8" ht="18.75" customHeight="1">
      <c r="A69" s="7" t="s">
        <v>576</v>
      </c>
      <c r="B69" s="8" t="s">
        <v>537</v>
      </c>
      <c r="C69" s="8" t="s">
        <v>577</v>
      </c>
      <c r="D69" s="8" t="s">
        <v>539</v>
      </c>
      <c r="E69" s="8" t="s">
        <v>578</v>
      </c>
      <c r="F69" s="8" t="s">
        <v>579</v>
      </c>
      <c r="G69" s="8" t="s">
        <v>580</v>
      </c>
      <c r="H69" s="8" t="s">
        <v>104</v>
      </c>
      <c r="I69" s="9">
        <v>155.0</v>
      </c>
      <c r="J69" s="9">
        <v>785.0</v>
      </c>
      <c r="K69" s="10">
        <v>778.7</v>
      </c>
      <c r="L69" s="8" t="s">
        <v>171</v>
      </c>
      <c r="M69" s="8" t="s">
        <v>554</v>
      </c>
      <c r="N69" s="8" t="s">
        <v>581</v>
      </c>
      <c r="O69" s="9">
        <v>46.0</v>
      </c>
      <c r="P69" s="10">
        <v>716.4</v>
      </c>
      <c r="Q69" s="11">
        <v>38.9</v>
      </c>
      <c r="R69" s="11">
        <v>7.8</v>
      </c>
      <c r="S69" s="11">
        <v>15.6</v>
      </c>
      <c r="T69" s="8" t="s">
        <v>582</v>
      </c>
      <c r="U69" s="11">
        <v>13.5</v>
      </c>
      <c r="V69" s="11">
        <v>6.2</v>
      </c>
      <c r="W69" s="11">
        <f>U69-V69</f>
        <v>7.3</v>
      </c>
      <c r="X69" s="11">
        <v>4.5</v>
      </c>
      <c r="Y69" s="9">
        <v>3250.0</v>
      </c>
      <c r="Z69" s="10">
        <v>2106.0</v>
      </c>
      <c r="AA69" s="10">
        <v>64.8</v>
      </c>
      <c r="AB69" s="8" t="s">
        <v>50</v>
      </c>
      <c r="AC69" s="10">
        <v>533.1</v>
      </c>
      <c r="AD69" s="10">
        <v>360.7</v>
      </c>
      <c r="AE69" s="10">
        <f>AC69+AD69</f>
        <v>893.8</v>
      </c>
      <c r="AF69" s="10">
        <v>595.4</v>
      </c>
      <c r="AG69" s="10">
        <v>285.1</v>
      </c>
      <c r="AH69" s="10">
        <v>83.0</v>
      </c>
      <c r="AI69" s="8" t="s">
        <v>175</v>
      </c>
      <c r="AJ69" s="8" t="s">
        <v>176</v>
      </c>
      <c r="AK69" s="8" t="s">
        <v>155</v>
      </c>
      <c r="AL69" s="8" t="s">
        <v>177</v>
      </c>
    </row>
    <row r="70" spans="8:8" ht="18.75" customHeight="1">
      <c r="A70" s="2" t="s">
        <v>583</v>
      </c>
      <c r="B70" s="3" t="s">
        <v>537</v>
      </c>
      <c r="C70" s="3" t="s">
        <v>584</v>
      </c>
      <c r="D70" s="3" t="s">
        <v>539</v>
      </c>
      <c r="E70" s="3" t="s">
        <v>578</v>
      </c>
      <c r="F70" s="3" t="s">
        <v>585</v>
      </c>
      <c r="G70" s="3" t="s">
        <v>586</v>
      </c>
      <c r="H70" s="3" t="s">
        <v>104</v>
      </c>
      <c r="I70" s="4">
        <v>140.0</v>
      </c>
      <c r="J70" s="4">
        <v>595.0</v>
      </c>
      <c r="K70" s="5">
        <v>594.6</v>
      </c>
      <c r="L70" s="3" t="s">
        <v>171</v>
      </c>
      <c r="M70" s="3" t="s">
        <v>587</v>
      </c>
      <c r="N70" s="3" t="s">
        <v>562</v>
      </c>
      <c r="O70" s="4">
        <v>36.0</v>
      </c>
      <c r="P70" s="5">
        <v>547.0</v>
      </c>
      <c r="Q70" s="6">
        <v>29.7</v>
      </c>
      <c r="R70" s="6">
        <v>5.9</v>
      </c>
      <c r="S70" s="6">
        <v>12.0</v>
      </c>
      <c r="T70" s="3" t="s">
        <v>588</v>
      </c>
      <c r="U70" s="6">
        <v>15.2</v>
      </c>
      <c r="V70" s="6">
        <v>7.8</v>
      </c>
      <c r="W70" s="6">
        <f>U70-V70</f>
        <v>7.3999999999999995</v>
      </c>
      <c r="X70" s="6">
        <v>3.8</v>
      </c>
      <c r="Y70" s="4">
        <v>3680.0</v>
      </c>
      <c r="Z70" s="5">
        <v>2620.2</v>
      </c>
      <c r="AA70" s="5">
        <v>71.2</v>
      </c>
      <c r="AB70" s="3" t="s">
        <v>106</v>
      </c>
      <c r="AC70" s="5">
        <v>407.1</v>
      </c>
      <c r="AD70" s="5">
        <v>257.3</v>
      </c>
      <c r="AE70" s="5">
        <f>AC70+AD70</f>
        <v>664.4000000000001</v>
      </c>
      <c r="AF70" s="5">
        <v>449.2</v>
      </c>
      <c r="AG70" s="5">
        <v>218.4</v>
      </c>
      <c r="AH70" s="5">
        <v>59.9</v>
      </c>
      <c r="AI70" s="3" t="s">
        <v>153</v>
      </c>
      <c r="AJ70" s="3" t="s">
        <v>154</v>
      </c>
      <c r="AK70" s="3" t="s">
        <v>155</v>
      </c>
      <c r="AL70" s="3" t="s">
        <v>156</v>
      </c>
    </row>
    <row r="71" spans="8:8" ht="18.75" customHeight="1">
      <c r="A71" s="7" t="s">
        <v>589</v>
      </c>
      <c r="B71" s="8" t="s">
        <v>537</v>
      </c>
      <c r="C71" s="8" t="s">
        <v>590</v>
      </c>
      <c r="D71" s="8" t="s">
        <v>591</v>
      </c>
      <c r="E71" s="8" t="s">
        <v>578</v>
      </c>
      <c r="F71" s="8" t="s">
        <v>592</v>
      </c>
      <c r="G71" s="8" t="s">
        <v>593</v>
      </c>
      <c r="H71" s="8" t="s">
        <v>594</v>
      </c>
      <c r="I71" s="9">
        <v>85.0</v>
      </c>
      <c r="J71" s="9">
        <v>425.0</v>
      </c>
      <c r="K71" s="10">
        <v>428.3</v>
      </c>
      <c r="L71" s="8" t="s">
        <v>595</v>
      </c>
      <c r="M71" s="8" t="s">
        <v>596</v>
      </c>
      <c r="N71" s="8" t="s">
        <v>597</v>
      </c>
      <c r="O71" s="9">
        <v>27.0</v>
      </c>
      <c r="P71" s="10">
        <v>389.8</v>
      </c>
      <c r="Q71" s="11">
        <v>21.4</v>
      </c>
      <c r="R71" s="11">
        <v>6.4</v>
      </c>
      <c r="S71" s="11">
        <v>10.7</v>
      </c>
      <c r="T71" s="8" t="s">
        <v>598</v>
      </c>
      <c r="U71" s="11">
        <v>29.4</v>
      </c>
      <c r="V71" s="11">
        <v>23.5</v>
      </c>
      <c r="W71" s="11">
        <f>U71-V71</f>
        <v>5.899999999999999</v>
      </c>
      <c r="X71" s="11">
        <v>8.0</v>
      </c>
      <c r="Y71" s="9">
        <v>1480.0</v>
      </c>
      <c r="Z71" s="10">
        <v>1272.8</v>
      </c>
      <c r="AA71" s="10">
        <v>86.0</v>
      </c>
      <c r="AB71" s="8" t="s">
        <v>106</v>
      </c>
      <c r="AC71" s="10">
        <v>293.4</v>
      </c>
      <c r="AD71" s="10">
        <v>431.8</v>
      </c>
      <c r="AE71" s="10">
        <f>AC71+AD71</f>
        <v>725.2</v>
      </c>
      <c r="AF71" s="10">
        <v>394.6</v>
      </c>
      <c r="AG71" s="10">
        <v>253.7</v>
      </c>
      <c r="AH71" s="10">
        <v>93.9</v>
      </c>
      <c r="AI71" s="8" t="s">
        <v>599</v>
      </c>
      <c r="AJ71" s="8" t="s">
        <v>600</v>
      </c>
      <c r="AK71" s="8" t="s">
        <v>601</v>
      </c>
      <c r="AL71" s="8" t="s">
        <v>602</v>
      </c>
    </row>
    <row r="72" spans="8:8" ht="18.75" customHeight="1">
      <c r="A72" s="2" t="s">
        <v>603</v>
      </c>
      <c r="B72" s="3" t="s">
        <v>604</v>
      </c>
      <c r="C72" s="3" t="s">
        <v>605</v>
      </c>
      <c r="D72" s="3" t="s">
        <v>591</v>
      </c>
      <c r="E72" s="3" t="s">
        <v>606</v>
      </c>
      <c r="F72" s="3" t="s">
        <v>607</v>
      </c>
      <c r="G72" s="3" t="s">
        <v>608</v>
      </c>
      <c r="H72" s="3" t="s">
        <v>594</v>
      </c>
      <c r="I72" s="4">
        <v>65.0</v>
      </c>
      <c r="J72" s="4">
        <v>295.0</v>
      </c>
      <c r="K72" s="5">
        <v>293.9</v>
      </c>
      <c r="L72" s="3" t="s">
        <v>609</v>
      </c>
      <c r="M72" s="3" t="s">
        <v>610</v>
      </c>
      <c r="N72" s="3" t="s">
        <v>611</v>
      </c>
      <c r="O72" s="4">
        <v>20.0</v>
      </c>
      <c r="P72" s="5">
        <v>261.6</v>
      </c>
      <c r="Q72" s="6">
        <v>11.8</v>
      </c>
      <c r="R72" s="6">
        <v>8.8</v>
      </c>
      <c r="S72" s="6">
        <v>11.7</v>
      </c>
      <c r="T72" s="3" t="s">
        <v>612</v>
      </c>
      <c r="U72" s="6">
        <v>42.5</v>
      </c>
      <c r="V72" s="6">
        <v>38.8</v>
      </c>
      <c r="W72" s="6">
        <f>U72-V72</f>
        <v>3.700000000000003</v>
      </c>
      <c r="X72" s="6">
        <v>7.5</v>
      </c>
      <c r="Y72" s="4">
        <v>1280.0</v>
      </c>
      <c r="Z72" s="5">
        <v>1824.0</v>
      </c>
      <c r="AA72" s="5">
        <v>142.5</v>
      </c>
      <c r="AB72" s="3" t="s">
        <v>238</v>
      </c>
      <c r="AC72" s="5">
        <v>201.6</v>
      </c>
      <c r="AD72" s="5">
        <v>118.5</v>
      </c>
      <c r="AE72" s="5">
        <f>AC72+AD72</f>
        <v>320.1</v>
      </c>
      <c r="AF72" s="5">
        <v>213.4</v>
      </c>
      <c r="AG72" s="5">
        <v>87.7</v>
      </c>
      <c r="AH72" s="6">
        <v>31.9</v>
      </c>
      <c r="AI72" s="3" t="s">
        <v>613</v>
      </c>
      <c r="AJ72" s="3" t="s">
        <v>614</v>
      </c>
      <c r="AK72" s="3" t="s">
        <v>601</v>
      </c>
      <c r="AL72" s="3" t="s">
        <v>615</v>
      </c>
    </row>
    <row r="73" spans="8:8" ht="18.75" customHeight="1">
      <c r="A73" s="7" t="s">
        <v>616</v>
      </c>
      <c r="B73" s="8" t="s">
        <v>604</v>
      </c>
      <c r="C73" s="8" t="s">
        <v>617</v>
      </c>
      <c r="D73" s="8" t="s">
        <v>591</v>
      </c>
      <c r="E73" s="8" t="s">
        <v>606</v>
      </c>
      <c r="F73" s="8" t="s">
        <v>618</v>
      </c>
      <c r="G73" s="8" t="s">
        <v>619</v>
      </c>
      <c r="H73" s="8" t="s">
        <v>594</v>
      </c>
      <c r="I73" s="9">
        <v>120.0</v>
      </c>
      <c r="J73" s="9">
        <v>315.0</v>
      </c>
      <c r="K73" s="10">
        <v>310.1</v>
      </c>
      <c r="L73" s="8" t="s">
        <v>620</v>
      </c>
      <c r="M73" s="8" t="s">
        <v>621</v>
      </c>
      <c r="N73" s="8" t="s">
        <v>622</v>
      </c>
      <c r="O73" s="9">
        <v>21.0</v>
      </c>
      <c r="P73" s="10">
        <v>248.1</v>
      </c>
      <c r="Q73" s="11">
        <v>15.5</v>
      </c>
      <c r="R73" s="11">
        <v>21.7</v>
      </c>
      <c r="S73" s="11">
        <v>24.8</v>
      </c>
      <c r="T73" s="8" t="s">
        <v>623</v>
      </c>
      <c r="U73" s="11">
        <v>14.2</v>
      </c>
      <c r="V73" s="11">
        <v>10.5</v>
      </c>
      <c r="W73" s="11">
        <f>U73-V73</f>
        <v>3.6999999999999993</v>
      </c>
      <c r="X73" s="11">
        <v>12.0</v>
      </c>
      <c r="Y73" s="9">
        <v>2450.0</v>
      </c>
      <c r="Z73" s="10">
        <v>1920.8</v>
      </c>
      <c r="AA73" s="10">
        <v>78.4</v>
      </c>
      <c r="AB73" s="8" t="s">
        <v>106</v>
      </c>
      <c r="AC73" s="10">
        <v>214.0</v>
      </c>
      <c r="AD73" s="10">
        <v>406.3</v>
      </c>
      <c r="AE73" s="10">
        <f>AC73+AD73</f>
        <v>620.3</v>
      </c>
      <c r="AF73" s="10">
        <v>290.6</v>
      </c>
      <c r="AG73" s="10">
        <v>255.1</v>
      </c>
      <c r="AH73" s="10">
        <v>98.7</v>
      </c>
      <c r="AI73" s="8" t="s">
        <v>599</v>
      </c>
      <c r="AJ73" s="8" t="s">
        <v>600</v>
      </c>
      <c r="AK73" s="8" t="s">
        <v>601</v>
      </c>
      <c r="AL73" s="8" t="s">
        <v>602</v>
      </c>
    </row>
    <row r="74" spans="8:8" ht="18.75" customHeight="1">
      <c r="A74" s="2" t="s">
        <v>624</v>
      </c>
      <c r="B74" s="3" t="s">
        <v>604</v>
      </c>
      <c r="C74" s="3" t="s">
        <v>625</v>
      </c>
      <c r="D74" s="3" t="s">
        <v>591</v>
      </c>
      <c r="E74" s="3" t="s">
        <v>606</v>
      </c>
      <c r="F74" s="3" t="s">
        <v>626</v>
      </c>
      <c r="G74" s="3" t="s">
        <v>627</v>
      </c>
      <c r="H74" s="3" t="s">
        <v>560</v>
      </c>
      <c r="I74" s="4">
        <v>55.0</v>
      </c>
      <c r="J74" s="4">
        <v>225.0</v>
      </c>
      <c r="K74" s="5">
        <v>223.4</v>
      </c>
      <c r="L74" s="3" t="s">
        <v>628</v>
      </c>
      <c r="M74" s="3" t="s">
        <v>629</v>
      </c>
      <c r="N74" s="3" t="s">
        <v>630</v>
      </c>
      <c r="O74" s="4">
        <v>16.0</v>
      </c>
      <c r="P74" s="5">
        <v>192.1</v>
      </c>
      <c r="Q74" s="6">
        <v>8.9</v>
      </c>
      <c r="R74" s="6">
        <v>8.9</v>
      </c>
      <c r="S74" s="6">
        <v>13.5</v>
      </c>
      <c r="T74" s="3" t="s">
        <v>631</v>
      </c>
      <c r="U74" s="6">
        <v>48.0</v>
      </c>
      <c r="V74" s="6">
        <v>44.5</v>
      </c>
      <c r="W74" s="6">
        <f>U74-V74</f>
        <v>3.5</v>
      </c>
      <c r="X74" s="6">
        <v>8.0</v>
      </c>
      <c r="Y74" s="4">
        <v>1120.0</v>
      </c>
      <c r="Z74" s="5">
        <v>1321.6</v>
      </c>
      <c r="AA74" s="5">
        <v>118.0</v>
      </c>
      <c r="AB74" s="3" t="s">
        <v>238</v>
      </c>
      <c r="AC74" s="5">
        <v>153.4</v>
      </c>
      <c r="AD74" s="5">
        <v>119.6</v>
      </c>
      <c r="AE74" s="5">
        <f>AC74+AD74</f>
        <v>273.0</v>
      </c>
      <c r="AF74" s="5">
        <v>166.5</v>
      </c>
      <c r="AG74" s="5">
        <v>84.2</v>
      </c>
      <c r="AH74" s="6">
        <v>33.3</v>
      </c>
      <c r="AI74" s="3" t="s">
        <v>613</v>
      </c>
      <c r="AJ74" s="3" t="s">
        <v>614</v>
      </c>
      <c r="AK74" s="3" t="s">
        <v>601</v>
      </c>
      <c r="AL74" s="3" t="s">
        <v>615</v>
      </c>
    </row>
    <row r="75" spans="8:8" ht="18.75" customHeight="1">
      <c r="A75" s="7" t="s">
        <v>632</v>
      </c>
      <c r="B75" s="8" t="s">
        <v>604</v>
      </c>
      <c r="C75" s="8" t="s">
        <v>633</v>
      </c>
      <c r="D75" s="8" t="s">
        <v>591</v>
      </c>
      <c r="E75" s="8" t="s">
        <v>606</v>
      </c>
      <c r="F75" s="8" t="s">
        <v>634</v>
      </c>
      <c r="G75" s="8" t="s">
        <v>635</v>
      </c>
      <c r="H75" s="8" t="s">
        <v>636</v>
      </c>
      <c r="I75" s="9">
        <v>95.0</v>
      </c>
      <c r="J75" s="9">
        <v>445.0</v>
      </c>
      <c r="K75" s="10">
        <v>436.6</v>
      </c>
      <c r="L75" s="8" t="s">
        <v>637</v>
      </c>
      <c r="M75" s="8" t="s">
        <v>638</v>
      </c>
      <c r="N75" s="8" t="s">
        <v>597</v>
      </c>
      <c r="O75" s="9">
        <v>28.0</v>
      </c>
      <c r="P75" s="10">
        <v>379.8</v>
      </c>
      <c r="Q75" s="11">
        <v>17.5</v>
      </c>
      <c r="R75" s="11">
        <v>17.5</v>
      </c>
      <c r="S75" s="11">
        <v>21.8</v>
      </c>
      <c r="T75" s="8" t="s">
        <v>639</v>
      </c>
      <c r="U75" s="11">
        <v>45.2</v>
      </c>
      <c r="V75" s="11">
        <v>40.8</v>
      </c>
      <c r="W75" s="11">
        <f>U75-V75</f>
        <v>4.400000000000006</v>
      </c>
      <c r="X75" s="11">
        <v>9.0</v>
      </c>
      <c r="Y75" s="9">
        <v>1850.0</v>
      </c>
      <c r="Z75" s="10">
        <v>2930.4</v>
      </c>
      <c r="AA75" s="10">
        <v>158.4</v>
      </c>
      <c r="AB75" s="8" t="s">
        <v>238</v>
      </c>
      <c r="AC75" s="10">
        <v>299.8</v>
      </c>
      <c r="AD75" s="10">
        <v>169.1</v>
      </c>
      <c r="AE75" s="10">
        <f>AC75+AD75</f>
        <v>468.9</v>
      </c>
      <c r="AF75" s="10">
        <v>309.0</v>
      </c>
      <c r="AG75" s="10">
        <v>129.7</v>
      </c>
      <c r="AH75" s="11">
        <v>49.1</v>
      </c>
      <c r="AI75" s="8" t="s">
        <v>640</v>
      </c>
      <c r="AJ75" s="8" t="s">
        <v>641</v>
      </c>
      <c r="AK75" s="8" t="s">
        <v>125</v>
      </c>
      <c r="AL75" s="8" t="s">
        <v>642</v>
      </c>
    </row>
    <row r="76" spans="8:8" ht="18.75" customHeight="1">
      <c r="A76" s="2" t="s">
        <v>643</v>
      </c>
      <c r="B76" s="3" t="s">
        <v>604</v>
      </c>
      <c r="C76" s="3" t="s">
        <v>644</v>
      </c>
      <c r="D76" s="3" t="s">
        <v>591</v>
      </c>
      <c r="E76" s="3" t="s">
        <v>606</v>
      </c>
      <c r="F76" s="3" t="s">
        <v>645</v>
      </c>
      <c r="G76" s="3" t="s">
        <v>646</v>
      </c>
      <c r="H76" s="3" t="s">
        <v>636</v>
      </c>
      <c r="I76" s="4">
        <v>110.0</v>
      </c>
      <c r="J76" s="4">
        <v>465.0</v>
      </c>
      <c r="K76" s="5">
        <v>460.2</v>
      </c>
      <c r="L76" s="3" t="s">
        <v>637</v>
      </c>
      <c r="M76" s="3" t="s">
        <v>596</v>
      </c>
      <c r="N76" s="3" t="s">
        <v>647</v>
      </c>
      <c r="O76" s="4">
        <v>29.0</v>
      </c>
      <c r="P76" s="5">
        <v>414.2</v>
      </c>
      <c r="Q76" s="6">
        <v>18.4</v>
      </c>
      <c r="R76" s="6">
        <v>9.2</v>
      </c>
      <c r="S76" s="6">
        <v>18.4</v>
      </c>
      <c r="T76" s="3" t="s">
        <v>648</v>
      </c>
      <c r="U76" s="6">
        <v>32.6</v>
      </c>
      <c r="V76" s="6">
        <v>25.4</v>
      </c>
      <c r="W76" s="6">
        <f>U76-V76</f>
        <v>7.200000000000003</v>
      </c>
      <c r="X76" s="6">
        <v>7.0</v>
      </c>
      <c r="Y76" s="4">
        <v>1620.0</v>
      </c>
      <c r="Z76" s="5">
        <v>2170.8</v>
      </c>
      <c r="AA76" s="5">
        <v>134.0</v>
      </c>
      <c r="AB76" s="3" t="s">
        <v>238</v>
      </c>
      <c r="AC76" s="5">
        <v>315.3</v>
      </c>
      <c r="AD76" s="5">
        <v>215.2</v>
      </c>
      <c r="AE76" s="5">
        <f>AC76+AD76</f>
        <v>530.5</v>
      </c>
      <c r="AF76" s="5">
        <v>346.3</v>
      </c>
      <c r="AG76" s="5">
        <v>150.3</v>
      </c>
      <c r="AH76" s="5">
        <v>55.9</v>
      </c>
      <c r="AI76" s="3" t="s">
        <v>613</v>
      </c>
      <c r="AJ76" s="3" t="s">
        <v>614</v>
      </c>
      <c r="AK76" s="3" t="s">
        <v>601</v>
      </c>
      <c r="AL76" s="3" t="s">
        <v>615</v>
      </c>
    </row>
    <row r="77" spans="8:8" ht="18.75" customHeight="1">
      <c r="A77" s="7" t="s">
        <v>649</v>
      </c>
      <c r="B77" s="8" t="s">
        <v>604</v>
      </c>
      <c r="C77" s="8" t="s">
        <v>650</v>
      </c>
      <c r="D77" s="8" t="s">
        <v>461</v>
      </c>
      <c r="E77" s="8" t="s">
        <v>651</v>
      </c>
      <c r="F77" s="8" t="s">
        <v>652</v>
      </c>
      <c r="G77" s="8" t="s">
        <v>653</v>
      </c>
      <c r="H77" s="8" t="s">
        <v>404</v>
      </c>
      <c r="I77" s="9">
        <v>125.0</v>
      </c>
      <c r="J77" s="9">
        <v>565.0</v>
      </c>
      <c r="K77" s="10">
        <v>564.0</v>
      </c>
      <c r="L77" s="8" t="s">
        <v>637</v>
      </c>
      <c r="M77" s="8" t="s">
        <v>654</v>
      </c>
      <c r="N77" s="8" t="s">
        <v>562</v>
      </c>
      <c r="O77" s="9">
        <v>34.0</v>
      </c>
      <c r="P77" s="10">
        <v>502.0</v>
      </c>
      <c r="Q77" s="11">
        <v>22.6</v>
      </c>
      <c r="R77" s="11">
        <v>16.9</v>
      </c>
      <c r="S77" s="11">
        <v>22.5</v>
      </c>
      <c r="T77" s="8" t="s">
        <v>655</v>
      </c>
      <c r="U77" s="11">
        <v>36.8</v>
      </c>
      <c r="V77" s="11">
        <v>30.2</v>
      </c>
      <c r="W77" s="11">
        <f>U77-V77</f>
        <v>6.599999999999998</v>
      </c>
      <c r="X77" s="11">
        <v>10.0</v>
      </c>
      <c r="Y77" s="9">
        <v>2650.0</v>
      </c>
      <c r="Z77" s="10">
        <v>3937.9</v>
      </c>
      <c r="AA77" s="10">
        <v>148.6</v>
      </c>
      <c r="AB77" s="8" t="s">
        <v>238</v>
      </c>
      <c r="AC77" s="10">
        <v>386.7</v>
      </c>
      <c r="AD77" s="10">
        <v>281.8</v>
      </c>
      <c r="AE77" s="10">
        <f>AC77+AD77</f>
        <v>668.5</v>
      </c>
      <c r="AF77" s="10">
        <v>425.9</v>
      </c>
      <c r="AG77" s="10">
        <v>226.7</v>
      </c>
      <c r="AH77" s="10">
        <v>72.1</v>
      </c>
      <c r="AI77" s="8" t="s">
        <v>613</v>
      </c>
      <c r="AJ77" s="8" t="s">
        <v>614</v>
      </c>
      <c r="AK77" s="8" t="s">
        <v>601</v>
      </c>
      <c r="AL77" s="8" t="s">
        <v>615</v>
      </c>
    </row>
    <row r="78" spans="8:8" ht="18.75" customHeight="1">
      <c r="A78" s="2" t="s">
        <v>656</v>
      </c>
      <c r="B78" s="3" t="s">
        <v>604</v>
      </c>
      <c r="C78" s="3" t="s">
        <v>657</v>
      </c>
      <c r="D78" s="3" t="s">
        <v>461</v>
      </c>
      <c r="E78" s="3" t="s">
        <v>651</v>
      </c>
      <c r="F78" s="3" t="s">
        <v>658</v>
      </c>
      <c r="G78" s="3" t="s">
        <v>659</v>
      </c>
      <c r="H78" s="3" t="s">
        <v>81</v>
      </c>
      <c r="I78" s="4">
        <v>150.0</v>
      </c>
      <c r="J78" s="4">
        <v>665.0</v>
      </c>
      <c r="K78" s="5">
        <v>666.3</v>
      </c>
      <c r="L78" s="3" t="s">
        <v>637</v>
      </c>
      <c r="M78" s="3" t="s">
        <v>654</v>
      </c>
      <c r="N78" s="3" t="s">
        <v>660</v>
      </c>
      <c r="O78" s="4">
        <v>40.0</v>
      </c>
      <c r="P78" s="5">
        <v>586.3</v>
      </c>
      <c r="Q78" s="6">
        <v>26.7</v>
      </c>
      <c r="R78" s="6">
        <v>26.7</v>
      </c>
      <c r="S78" s="6">
        <v>26.6</v>
      </c>
      <c r="T78" s="3" t="s">
        <v>661</v>
      </c>
      <c r="U78" s="6">
        <v>24.5</v>
      </c>
      <c r="V78" s="6">
        <v>18.2</v>
      </c>
      <c r="W78" s="6">
        <f>U78-V78</f>
        <v>6.300000000000001</v>
      </c>
      <c r="X78" s="6">
        <v>12.5</v>
      </c>
      <c r="Y78" s="4">
        <v>2980.0</v>
      </c>
      <c r="Z78" s="5">
        <v>3829.3</v>
      </c>
      <c r="AA78" s="5">
        <v>128.5</v>
      </c>
      <c r="AB78" s="3" t="s">
        <v>238</v>
      </c>
      <c r="AC78" s="5">
        <v>457.3</v>
      </c>
      <c r="AD78" s="5">
        <v>336.2</v>
      </c>
      <c r="AE78" s="5">
        <f>AC78+AD78</f>
        <v>793.5</v>
      </c>
      <c r="AF78" s="5">
        <v>499.6</v>
      </c>
      <c r="AG78" s="5">
        <v>275.6</v>
      </c>
      <c r="AH78" s="5">
        <v>85.8</v>
      </c>
      <c r="AI78" s="3" t="s">
        <v>564</v>
      </c>
      <c r="AJ78" s="3" t="s">
        <v>565</v>
      </c>
      <c r="AK78" s="3" t="s">
        <v>490</v>
      </c>
      <c r="AL78" s="3" t="s">
        <v>566</v>
      </c>
    </row>
    <row r="79" spans="8:8" ht="18.75" customHeight="1">
      <c r="A79" s="7" t="s">
        <v>662</v>
      </c>
      <c r="B79" s="8" t="s">
        <v>604</v>
      </c>
      <c r="C79" s="8" t="s">
        <v>663</v>
      </c>
      <c r="D79" s="8" t="s">
        <v>461</v>
      </c>
      <c r="E79" s="8" t="s">
        <v>651</v>
      </c>
      <c r="F79" s="8" t="s">
        <v>664</v>
      </c>
      <c r="G79" s="8" t="s">
        <v>665</v>
      </c>
      <c r="H79" s="8" t="s">
        <v>81</v>
      </c>
      <c r="I79" s="9">
        <v>145.0</v>
      </c>
      <c r="J79" s="9">
        <v>725.0</v>
      </c>
      <c r="K79" s="10">
        <v>721.2</v>
      </c>
      <c r="L79" s="8" t="s">
        <v>171</v>
      </c>
      <c r="M79" s="8" t="s">
        <v>666</v>
      </c>
      <c r="N79" s="8" t="s">
        <v>486</v>
      </c>
      <c r="O79" s="9">
        <v>43.0</v>
      </c>
      <c r="P79" s="10">
        <v>649.1</v>
      </c>
      <c r="Q79" s="11">
        <v>36.1</v>
      </c>
      <c r="R79" s="11">
        <v>14.4</v>
      </c>
      <c r="S79" s="11">
        <v>21.6</v>
      </c>
      <c r="T79" s="8" t="s">
        <v>667</v>
      </c>
      <c r="U79" s="11">
        <v>16.4</v>
      </c>
      <c r="V79" s="11">
        <v>8.8</v>
      </c>
      <c r="W79" s="11">
        <f>U79-V79</f>
        <v>7.599999999999998</v>
      </c>
      <c r="X79" s="11">
        <v>3.5</v>
      </c>
      <c r="Y79" s="9">
        <v>2120.0</v>
      </c>
      <c r="Z79" s="10">
        <v>1958.9</v>
      </c>
      <c r="AA79" s="10">
        <v>92.4</v>
      </c>
      <c r="AB79" s="8" t="s">
        <v>147</v>
      </c>
      <c r="AC79" s="10">
        <v>494.4</v>
      </c>
      <c r="AD79" s="10">
        <v>178.5</v>
      </c>
      <c r="AE79" s="10">
        <f>AC79+AD79</f>
        <v>672.9</v>
      </c>
      <c r="AF79" s="10">
        <v>494.9</v>
      </c>
      <c r="AG79" s="10">
        <v>192.3</v>
      </c>
      <c r="AH79" s="10">
        <v>50.8</v>
      </c>
      <c r="AI79" s="8" t="s">
        <v>153</v>
      </c>
      <c r="AJ79" s="8" t="s">
        <v>154</v>
      </c>
      <c r="AK79" s="8" t="s">
        <v>155</v>
      </c>
      <c r="AL79" s="8" t="s">
        <v>156</v>
      </c>
    </row>
    <row r="80" spans="8:8" ht="18.75" customHeight="1">
      <c r="A80" s="2" t="s">
        <v>668</v>
      </c>
      <c r="B80" s="3" t="s">
        <v>604</v>
      </c>
      <c r="C80" s="3" t="s">
        <v>669</v>
      </c>
      <c r="D80" s="3" t="s">
        <v>461</v>
      </c>
      <c r="E80" s="3" t="s">
        <v>651</v>
      </c>
      <c r="F80" s="3" t="s">
        <v>670</v>
      </c>
      <c r="G80" s="3" t="s">
        <v>671</v>
      </c>
      <c r="H80" s="3" t="s">
        <v>131</v>
      </c>
      <c r="I80" s="4">
        <v>160.0</v>
      </c>
      <c r="J80" s="4">
        <v>895.0</v>
      </c>
      <c r="K80" s="5">
        <v>895.0</v>
      </c>
      <c r="L80" s="3" t="s">
        <v>171</v>
      </c>
      <c r="M80" s="3" t="s">
        <v>672</v>
      </c>
      <c r="N80" s="3" t="s">
        <v>581</v>
      </c>
      <c r="O80" s="4">
        <v>52.0</v>
      </c>
      <c r="P80" s="5">
        <v>823.4</v>
      </c>
      <c r="Q80" s="6">
        <v>44.8</v>
      </c>
      <c r="R80" s="6">
        <v>9.0</v>
      </c>
      <c r="S80" s="6">
        <v>17.8</v>
      </c>
      <c r="T80" s="3" t="s">
        <v>673</v>
      </c>
      <c r="U80" s="6">
        <v>10.2</v>
      </c>
      <c r="V80" s="6">
        <v>4.5</v>
      </c>
      <c r="W80" s="6">
        <f>U80-V80</f>
        <v>5.699999999999999</v>
      </c>
      <c r="X80" s="6">
        <v>3.8</v>
      </c>
      <c r="Y80" s="4">
        <v>1340.0</v>
      </c>
      <c r="Z80" s="5">
        <v>750.4</v>
      </c>
      <c r="AA80" s="5">
        <v>56.0</v>
      </c>
      <c r="AB80" s="3" t="s">
        <v>50</v>
      </c>
      <c r="AC80" s="5">
        <v>612.7</v>
      </c>
      <c r="AD80" s="5">
        <v>237.9</v>
      </c>
      <c r="AE80" s="5">
        <f>AC80+AD80</f>
        <v>850.6</v>
      </c>
      <c r="AF80" s="5">
        <v>631.3</v>
      </c>
      <c r="AG80" s="5">
        <v>231.3</v>
      </c>
      <c r="AH80" s="5">
        <v>60.1</v>
      </c>
      <c r="AI80" s="3" t="s">
        <v>175</v>
      </c>
      <c r="AJ80" s="3" t="s">
        <v>176</v>
      </c>
      <c r="AK80" s="3" t="s">
        <v>155</v>
      </c>
      <c r="AL80" s="3" t="s">
        <v>177</v>
      </c>
    </row>
    <row r="81" spans="8:8" ht="18.75" customHeight="1">
      <c r="A81" s="7" t="s">
        <v>674</v>
      </c>
      <c r="B81" s="8" t="s">
        <v>604</v>
      </c>
      <c r="C81" s="8" t="s">
        <v>675</v>
      </c>
      <c r="D81" s="8" t="s">
        <v>461</v>
      </c>
      <c r="E81" s="8" t="s">
        <v>651</v>
      </c>
      <c r="F81" s="8" t="s">
        <v>676</v>
      </c>
      <c r="G81" s="8" t="s">
        <v>677</v>
      </c>
      <c r="H81" s="8" t="s">
        <v>182</v>
      </c>
      <c r="I81" s="9">
        <v>190.0</v>
      </c>
      <c r="J81" s="9">
        <v>880.0</v>
      </c>
      <c r="K81" s="10">
        <v>873.5</v>
      </c>
      <c r="L81" s="8" t="s">
        <v>171</v>
      </c>
      <c r="M81" s="8" t="s">
        <v>497</v>
      </c>
      <c r="N81" s="8" t="s">
        <v>498</v>
      </c>
      <c r="O81" s="9">
        <v>51.0</v>
      </c>
      <c r="P81" s="10">
        <v>794.9</v>
      </c>
      <c r="Q81" s="11">
        <v>43.7</v>
      </c>
      <c r="R81" s="11">
        <v>17.5</v>
      </c>
      <c r="S81" s="11">
        <v>17.4</v>
      </c>
      <c r="T81" s="8" t="s">
        <v>678</v>
      </c>
      <c r="U81" s="11">
        <v>12.8</v>
      </c>
      <c r="V81" s="11">
        <v>5.9</v>
      </c>
      <c r="W81" s="11">
        <f>U81-V81</f>
        <v>6.9</v>
      </c>
      <c r="X81" s="11">
        <v>5.5</v>
      </c>
      <c r="Y81" s="9">
        <v>2890.0</v>
      </c>
      <c r="Z81" s="10">
        <v>2369.8</v>
      </c>
      <c r="AA81" s="10">
        <v>82.0</v>
      </c>
      <c r="AB81" s="8" t="s">
        <v>106</v>
      </c>
      <c r="AC81" s="10">
        <v>598.6</v>
      </c>
      <c r="AD81" s="10">
        <v>347.2</v>
      </c>
      <c r="AE81" s="10">
        <f>AC81+AD81</f>
        <v>945.8</v>
      </c>
      <c r="AF81" s="10">
        <v>644.7</v>
      </c>
      <c r="AG81" s="10">
        <v>305.0</v>
      </c>
      <c r="AH81" s="10">
        <v>81.6</v>
      </c>
      <c r="AI81" s="8" t="s">
        <v>73</v>
      </c>
      <c r="AJ81" s="8" t="s">
        <v>74</v>
      </c>
      <c r="AK81" s="8" t="s">
        <v>75</v>
      </c>
      <c r="AL81" s="8" t="s">
        <v>76</v>
      </c>
    </row>
    <row r="82" spans="8:8" ht="18.75" customHeight="1">
      <c r="A82" s="2" t="s">
        <v>679</v>
      </c>
      <c r="B82" s="3" t="s">
        <v>680</v>
      </c>
      <c r="C82" s="3" t="s">
        <v>681</v>
      </c>
      <c r="D82" s="3" t="s">
        <v>682</v>
      </c>
      <c r="E82" s="3" t="s">
        <v>680</v>
      </c>
      <c r="F82" s="3" t="s">
        <v>683</v>
      </c>
      <c r="G82" s="3" t="s">
        <v>684</v>
      </c>
      <c r="H82" s="3" t="s">
        <v>404</v>
      </c>
      <c r="I82" s="4">
        <v>145.0</v>
      </c>
      <c r="J82" s="4">
        <v>960.0</v>
      </c>
      <c r="K82" s="5">
        <v>945.9</v>
      </c>
      <c r="L82" s="3" t="s">
        <v>685</v>
      </c>
      <c r="M82" s="3" t="s">
        <v>686</v>
      </c>
      <c r="N82" s="3" t="s">
        <v>597</v>
      </c>
      <c r="O82" s="4">
        <v>55.0</v>
      </c>
      <c r="P82" s="5">
        <v>756.7</v>
      </c>
      <c r="Q82" s="6">
        <v>37.8</v>
      </c>
      <c r="R82" s="5">
        <v>94.6</v>
      </c>
      <c r="S82" s="5">
        <v>56.8</v>
      </c>
      <c r="T82" s="3" t="s">
        <v>687</v>
      </c>
      <c r="U82" s="6">
        <v>16.5</v>
      </c>
      <c r="V82" s="6">
        <v>12.8</v>
      </c>
      <c r="W82" s="6">
        <f>U82-V82</f>
        <v>3.6999999999999993</v>
      </c>
      <c r="X82" s="6">
        <v>14.0</v>
      </c>
      <c r="Y82" s="4">
        <v>2450.0</v>
      </c>
      <c r="Z82" s="5">
        <v>2364.2</v>
      </c>
      <c r="AA82" s="5">
        <v>96.5</v>
      </c>
      <c r="AB82" s="3" t="s">
        <v>147</v>
      </c>
      <c r="AC82" s="5">
        <v>653.7</v>
      </c>
      <c r="AD82" s="5">
        <v>347.6</v>
      </c>
      <c r="AE82" s="5">
        <f>AC82+AD82</f>
        <v>1001.3000000000001</v>
      </c>
      <c r="AF82" s="5">
        <v>618.9</v>
      </c>
      <c r="AG82" s="5">
        <v>338.3</v>
      </c>
      <c r="AH82" s="5">
        <v>109.3</v>
      </c>
      <c r="AI82" s="3" t="s">
        <v>123</v>
      </c>
      <c r="AJ82" s="3" t="s">
        <v>124</v>
      </c>
      <c r="AK82" s="3" t="s">
        <v>125</v>
      </c>
      <c r="AL82" s="3" t="s">
        <v>126</v>
      </c>
    </row>
    <row r="83" spans="8:8" ht="18.75" customHeight="1">
      <c r="A83" s="7" t="s">
        <v>688</v>
      </c>
      <c r="B83" s="8" t="s">
        <v>680</v>
      </c>
      <c r="C83" s="8" t="s">
        <v>689</v>
      </c>
      <c r="D83" s="8" t="s">
        <v>682</v>
      </c>
      <c r="E83" s="8" t="s">
        <v>680</v>
      </c>
      <c r="F83" s="8" t="s">
        <v>690</v>
      </c>
      <c r="G83" s="8" t="s">
        <v>691</v>
      </c>
      <c r="H83" s="8" t="s">
        <v>81</v>
      </c>
      <c r="I83" s="9">
        <v>175.0</v>
      </c>
      <c r="J83" s="9">
        <v>665.0</v>
      </c>
      <c r="K83" s="10">
        <v>658.8</v>
      </c>
      <c r="L83" s="8" t="s">
        <v>685</v>
      </c>
      <c r="M83" s="8" t="s">
        <v>692</v>
      </c>
      <c r="N83" s="8" t="s">
        <v>622</v>
      </c>
      <c r="O83" s="9">
        <v>40.0</v>
      </c>
      <c r="P83" s="10">
        <v>520.5</v>
      </c>
      <c r="Q83" s="11">
        <v>26.4</v>
      </c>
      <c r="R83" s="10">
        <v>65.9</v>
      </c>
      <c r="S83" s="11">
        <v>46.0</v>
      </c>
      <c r="T83" s="8" t="s">
        <v>693</v>
      </c>
      <c r="U83" s="11">
        <v>29.8</v>
      </c>
      <c r="V83" s="11">
        <v>26.5</v>
      </c>
      <c r="W83" s="11">
        <f>U83-V83</f>
        <v>3.3000000000000007</v>
      </c>
      <c r="X83" s="11">
        <v>16.0</v>
      </c>
      <c r="Y83" s="9">
        <v>11200.0</v>
      </c>
      <c r="Z83" s="10">
        <v>19992.0</v>
      </c>
      <c r="AA83" s="10">
        <v>178.5</v>
      </c>
      <c r="AB83" s="8" t="s">
        <v>238</v>
      </c>
      <c r="AC83" s="10">
        <v>455.3</v>
      </c>
      <c r="AD83" s="10">
        <v>225.5</v>
      </c>
      <c r="AE83" s="10">
        <f>AC83+AD83</f>
        <v>680.8</v>
      </c>
      <c r="AF83" s="10">
        <v>421.5</v>
      </c>
      <c r="AG83" s="10">
        <v>260.8</v>
      </c>
      <c r="AH83" s="10">
        <v>77.3</v>
      </c>
      <c r="AI83" s="8" t="s">
        <v>564</v>
      </c>
      <c r="AJ83" s="8" t="s">
        <v>565</v>
      </c>
      <c r="AK83" s="8" t="s">
        <v>490</v>
      </c>
      <c r="AL83" s="8" t="s">
        <v>566</v>
      </c>
    </row>
    <row r="84" spans="8:8" ht="18.75" customHeight="1">
      <c r="A84" s="2" t="s">
        <v>694</v>
      </c>
      <c r="B84" s="3" t="s">
        <v>680</v>
      </c>
      <c r="C84" s="3" t="s">
        <v>695</v>
      </c>
      <c r="D84" s="3" t="s">
        <v>682</v>
      </c>
      <c r="E84" s="3" t="s">
        <v>680</v>
      </c>
      <c r="F84" s="3" t="s">
        <v>696</v>
      </c>
      <c r="G84" s="3" t="s">
        <v>697</v>
      </c>
      <c r="H84" s="3" t="s">
        <v>636</v>
      </c>
      <c r="I84" s="4">
        <v>130.0</v>
      </c>
      <c r="J84" s="4">
        <v>410.0</v>
      </c>
      <c r="K84" s="5">
        <v>408.8</v>
      </c>
      <c r="L84" s="3" t="s">
        <v>685</v>
      </c>
      <c r="M84" s="3" t="s">
        <v>698</v>
      </c>
      <c r="N84" s="3" t="s">
        <v>611</v>
      </c>
      <c r="O84" s="4">
        <v>26.0</v>
      </c>
      <c r="P84" s="5">
        <v>318.9</v>
      </c>
      <c r="Q84" s="6">
        <v>16.4</v>
      </c>
      <c r="R84" s="6">
        <v>36.8</v>
      </c>
      <c r="S84" s="6">
        <v>36.7</v>
      </c>
      <c r="T84" s="3" t="s">
        <v>699</v>
      </c>
      <c r="U84" s="6">
        <v>12.4</v>
      </c>
      <c r="V84" s="6">
        <v>9.8</v>
      </c>
      <c r="W84" s="6">
        <f>U84-V84</f>
        <v>2.5999999999999996</v>
      </c>
      <c r="X84" s="6">
        <v>13.0</v>
      </c>
      <c r="Y84" s="4">
        <v>4850.0</v>
      </c>
      <c r="Z84" s="5">
        <v>5432.0</v>
      </c>
      <c r="AA84" s="5">
        <v>112.0</v>
      </c>
      <c r="AB84" s="3" t="s">
        <v>238</v>
      </c>
      <c r="AC84" s="5">
        <v>282.5</v>
      </c>
      <c r="AD84" s="5">
        <v>144.3</v>
      </c>
      <c r="AE84" s="5">
        <f>AC84+AD84</f>
        <v>426.8</v>
      </c>
      <c r="AF84" s="5">
        <v>260.2</v>
      </c>
      <c r="AG84" s="5">
        <v>138.1</v>
      </c>
      <c r="AH84" s="5">
        <v>54.6</v>
      </c>
      <c r="AI84" s="3" t="s">
        <v>700</v>
      </c>
      <c r="AJ84" s="3" t="s">
        <v>701</v>
      </c>
      <c r="AK84" s="3" t="s">
        <v>229</v>
      </c>
      <c r="AL84" s="3" t="s">
        <v>702</v>
      </c>
    </row>
    <row r="85" spans="8:8" ht="18.75" customHeight="1">
      <c r="A85" s="7" t="s">
        <v>703</v>
      </c>
      <c r="B85" s="8" t="s">
        <v>704</v>
      </c>
      <c r="C85" s="8" t="s">
        <v>705</v>
      </c>
      <c r="D85" s="8" t="s">
        <v>682</v>
      </c>
      <c r="E85" s="8" t="s">
        <v>706</v>
      </c>
      <c r="F85" s="8" t="s">
        <v>707</v>
      </c>
      <c r="G85" s="8" t="s">
        <v>708</v>
      </c>
      <c r="H85" s="8" t="s">
        <v>709</v>
      </c>
      <c r="I85" s="9">
        <v>175.0</v>
      </c>
      <c r="J85" s="9">
        <v>745.0</v>
      </c>
      <c r="K85" s="10">
        <v>736.6</v>
      </c>
      <c r="L85" s="8" t="s">
        <v>685</v>
      </c>
      <c r="M85" s="8" t="s">
        <v>686</v>
      </c>
      <c r="N85" s="8" t="s">
        <v>597</v>
      </c>
      <c r="O85" s="9">
        <v>44.0</v>
      </c>
      <c r="P85" s="10">
        <v>604.0</v>
      </c>
      <c r="Q85" s="11">
        <v>29.5</v>
      </c>
      <c r="R85" s="10">
        <v>58.9</v>
      </c>
      <c r="S85" s="11">
        <v>44.2</v>
      </c>
      <c r="T85" s="8" t="s">
        <v>710</v>
      </c>
      <c r="U85" s="11">
        <v>26.4</v>
      </c>
      <c r="V85" s="11">
        <v>23.1</v>
      </c>
      <c r="W85" s="11">
        <f>U85-V85</f>
        <v>3.299999999999997</v>
      </c>
      <c r="X85" s="11">
        <v>16.0</v>
      </c>
      <c r="Y85" s="9">
        <v>5650.0</v>
      </c>
      <c r="Z85" s="10">
        <v>8712.3</v>
      </c>
      <c r="AA85" s="10">
        <v>154.2</v>
      </c>
      <c r="AB85" s="8" t="s">
        <v>238</v>
      </c>
      <c r="AC85" s="10">
        <v>507.9</v>
      </c>
      <c r="AD85" s="10">
        <v>225.5</v>
      </c>
      <c r="AE85" s="10">
        <f>AC85+AD85</f>
        <v>733.4</v>
      </c>
      <c r="AF85" s="10">
        <v>478.3</v>
      </c>
      <c r="AG85" s="10">
        <v>257.9</v>
      </c>
      <c r="AH85" s="10">
        <v>76.0</v>
      </c>
      <c r="AI85" s="8" t="s">
        <v>564</v>
      </c>
      <c r="AJ85" s="8" t="s">
        <v>565</v>
      </c>
      <c r="AK85" s="8" t="s">
        <v>490</v>
      </c>
      <c r="AL85" s="8" t="s">
        <v>566</v>
      </c>
    </row>
    <row r="86" spans="8:8" ht="18.75" customHeight="1">
      <c r="A86" s="2" t="s">
        <v>711</v>
      </c>
      <c r="B86" s="3" t="s">
        <v>704</v>
      </c>
      <c r="C86" s="3" t="s">
        <v>712</v>
      </c>
      <c r="D86" s="3" t="s">
        <v>682</v>
      </c>
      <c r="E86" s="3" t="s">
        <v>706</v>
      </c>
      <c r="F86" s="3" t="s">
        <v>713</v>
      </c>
      <c r="G86" s="3" t="s">
        <v>714</v>
      </c>
      <c r="H86" s="3" t="s">
        <v>594</v>
      </c>
      <c r="I86" s="4">
        <v>115.0</v>
      </c>
      <c r="J86" s="4">
        <v>415.0</v>
      </c>
      <c r="K86" s="5">
        <v>412.5</v>
      </c>
      <c r="L86" s="3" t="s">
        <v>685</v>
      </c>
      <c r="M86" s="3" t="s">
        <v>638</v>
      </c>
      <c r="N86" s="3" t="s">
        <v>715</v>
      </c>
      <c r="O86" s="4">
        <v>26.0</v>
      </c>
      <c r="P86" s="5">
        <v>334.1</v>
      </c>
      <c r="Q86" s="6">
        <v>16.5</v>
      </c>
      <c r="R86" s="6">
        <v>33.0</v>
      </c>
      <c r="S86" s="6">
        <v>28.9</v>
      </c>
      <c r="T86" s="3" t="s">
        <v>716</v>
      </c>
      <c r="U86" s="6">
        <v>18.5</v>
      </c>
      <c r="V86" s="6">
        <v>15.2</v>
      </c>
      <c r="W86" s="6">
        <f>U86-V86</f>
        <v>3.3000000000000007</v>
      </c>
      <c r="X86" s="6">
        <v>12.0</v>
      </c>
      <c r="Y86" s="4">
        <v>3420.0</v>
      </c>
      <c r="Z86" s="5">
        <v>4035.6</v>
      </c>
      <c r="AA86" s="5">
        <v>118.0</v>
      </c>
      <c r="AB86" s="3" t="s">
        <v>238</v>
      </c>
      <c r="AC86" s="5">
        <v>284.5</v>
      </c>
      <c r="AD86" s="5">
        <v>169.1</v>
      </c>
      <c r="AE86" s="5">
        <f>AC86+AD86</f>
        <v>453.6</v>
      </c>
      <c r="AF86" s="5">
        <v>277.9</v>
      </c>
      <c r="AG86" s="5">
        <v>144.6</v>
      </c>
      <c r="AH86" s="5">
        <v>54.0</v>
      </c>
      <c r="AI86" s="3" t="s">
        <v>613</v>
      </c>
      <c r="AJ86" s="3" t="s">
        <v>614</v>
      </c>
      <c r="AK86" s="3" t="s">
        <v>601</v>
      </c>
      <c r="AL86" s="3" t="s">
        <v>615</v>
      </c>
    </row>
    <row r="87" spans="8:8" ht="18.75" customHeight="1">
      <c r="A87" s="7" t="s">
        <v>717</v>
      </c>
      <c r="B87" s="8" t="s">
        <v>704</v>
      </c>
      <c r="C87" s="8" t="s">
        <v>718</v>
      </c>
      <c r="D87" s="8" t="s">
        <v>682</v>
      </c>
      <c r="E87" s="8" t="s">
        <v>706</v>
      </c>
      <c r="F87" s="8" t="s">
        <v>719</v>
      </c>
      <c r="G87" s="8" t="s">
        <v>720</v>
      </c>
      <c r="H87" s="8" t="s">
        <v>560</v>
      </c>
      <c r="I87" s="9">
        <v>105.0</v>
      </c>
      <c r="J87" s="9">
        <v>525.0</v>
      </c>
      <c r="K87" s="10">
        <v>526.3</v>
      </c>
      <c r="L87" s="8" t="s">
        <v>685</v>
      </c>
      <c r="M87" s="8" t="s">
        <v>692</v>
      </c>
      <c r="N87" s="8" t="s">
        <v>597</v>
      </c>
      <c r="O87" s="9">
        <v>32.0</v>
      </c>
      <c r="P87" s="10">
        <v>442.1</v>
      </c>
      <c r="Q87" s="11">
        <v>21.1</v>
      </c>
      <c r="R87" s="11">
        <v>31.6</v>
      </c>
      <c r="S87" s="11">
        <v>31.5</v>
      </c>
      <c r="T87" s="8" t="s">
        <v>721</v>
      </c>
      <c r="U87" s="11">
        <v>34.2</v>
      </c>
      <c r="V87" s="11">
        <v>29.8</v>
      </c>
      <c r="W87" s="11">
        <f>U87-V87</f>
        <v>4.400000000000002</v>
      </c>
      <c r="X87" s="11">
        <v>10.0</v>
      </c>
      <c r="Y87" s="9">
        <v>1890.0</v>
      </c>
      <c r="Z87" s="10">
        <v>2768.9</v>
      </c>
      <c r="AA87" s="10">
        <v>146.5</v>
      </c>
      <c r="AB87" s="8" t="s">
        <v>238</v>
      </c>
      <c r="AC87" s="10">
        <v>362.1</v>
      </c>
      <c r="AD87" s="10">
        <v>187.9</v>
      </c>
      <c r="AE87" s="10">
        <f>AC87+AD87</f>
        <v>550.0</v>
      </c>
      <c r="AF87" s="10">
        <v>357.0</v>
      </c>
      <c r="AG87" s="10">
        <v>154.5</v>
      </c>
      <c r="AH87" s="10">
        <v>59.6</v>
      </c>
      <c r="AI87" s="8" t="s">
        <v>640</v>
      </c>
      <c r="AJ87" s="8" t="s">
        <v>641</v>
      </c>
      <c r="AK87" s="8" t="s">
        <v>125</v>
      </c>
      <c r="AL87" s="8" t="s">
        <v>642</v>
      </c>
    </row>
    <row r="88" spans="8:8" ht="18.75" customHeight="1">
      <c r="A88" s="2" t="s">
        <v>722</v>
      </c>
      <c r="B88" s="3" t="s">
        <v>723</v>
      </c>
      <c r="C88" s="3" t="s">
        <v>724</v>
      </c>
      <c r="D88" s="3" t="s">
        <v>682</v>
      </c>
      <c r="E88" s="3" t="s">
        <v>706</v>
      </c>
      <c r="F88" s="3" t="s">
        <v>725</v>
      </c>
      <c r="G88" s="3" t="s">
        <v>726</v>
      </c>
      <c r="H88" s="3" t="s">
        <v>404</v>
      </c>
      <c r="I88" s="4">
        <v>140.0</v>
      </c>
      <c r="J88" s="4">
        <v>695.0</v>
      </c>
      <c r="K88" s="5">
        <v>689.4</v>
      </c>
      <c r="L88" s="3" t="s">
        <v>685</v>
      </c>
      <c r="M88" s="3" t="s">
        <v>727</v>
      </c>
      <c r="N88" s="3" t="s">
        <v>728</v>
      </c>
      <c r="O88" s="4">
        <v>41.0</v>
      </c>
      <c r="P88" s="5">
        <v>579.1</v>
      </c>
      <c r="Q88" s="6">
        <v>27.6</v>
      </c>
      <c r="R88" s="6">
        <v>41.4</v>
      </c>
      <c r="S88" s="6">
        <v>41.3</v>
      </c>
      <c r="T88" s="3" t="s">
        <v>729</v>
      </c>
      <c r="U88" s="6">
        <v>24.8</v>
      </c>
      <c r="V88" s="6">
        <v>20.4</v>
      </c>
      <c r="W88" s="6">
        <f>U88-V88</f>
        <v>4.400000000000002</v>
      </c>
      <c r="X88" s="6">
        <v>12.0</v>
      </c>
      <c r="Y88" s="4">
        <v>340.0</v>
      </c>
      <c r="Z88" s="5">
        <v>334.6</v>
      </c>
      <c r="AA88" s="5">
        <v>98.4</v>
      </c>
      <c r="AB88" s="3" t="s">
        <v>147</v>
      </c>
      <c r="AC88" s="5">
        <v>474.5</v>
      </c>
      <c r="AD88" s="5">
        <v>354.3</v>
      </c>
      <c r="AE88" s="5">
        <f>AC88+AD88</f>
        <v>828.8</v>
      </c>
      <c r="AF88" s="5">
        <v>500.1</v>
      </c>
      <c r="AG88" s="5">
        <v>292.0</v>
      </c>
      <c r="AH88" s="5">
        <v>99.8</v>
      </c>
      <c r="AI88" s="3" t="s">
        <v>730</v>
      </c>
      <c r="AJ88" s="3" t="s">
        <v>731</v>
      </c>
      <c r="AK88" s="3" t="s">
        <v>490</v>
      </c>
      <c r="AL88" s="3" t="s">
        <v>732</v>
      </c>
    </row>
    <row r="89" spans="8:8" ht="18.75" customHeight="1">
      <c r="A89" s="7" t="s">
        <v>733</v>
      </c>
      <c r="B89" s="8" t="s">
        <v>734</v>
      </c>
      <c r="C89" s="8" t="s">
        <v>735</v>
      </c>
      <c r="D89" s="8" t="s">
        <v>736</v>
      </c>
      <c r="E89" s="8" t="s">
        <v>737</v>
      </c>
      <c r="F89" s="8" t="s">
        <v>738</v>
      </c>
      <c r="G89" s="8" t="s">
        <v>739</v>
      </c>
      <c r="H89" s="8" t="s">
        <v>740</v>
      </c>
      <c r="I89" s="9">
        <v>190.0</v>
      </c>
      <c r="J89" s="9">
        <v>1180.0</v>
      </c>
      <c r="K89" s="10">
        <v>1176.9</v>
      </c>
      <c r="L89" s="8" t="s">
        <v>741</v>
      </c>
      <c r="M89" s="8" t="s">
        <v>666</v>
      </c>
      <c r="N89" s="8" t="s">
        <v>486</v>
      </c>
      <c r="O89" s="9">
        <v>72.0</v>
      </c>
      <c r="P89" s="10">
        <v>1000.4</v>
      </c>
      <c r="Q89" s="11">
        <v>47.1</v>
      </c>
      <c r="R89" s="10">
        <v>70.6</v>
      </c>
      <c r="S89" s="10">
        <v>58.8</v>
      </c>
      <c r="T89" s="8" t="s">
        <v>742</v>
      </c>
      <c r="U89" s="11">
        <v>6.2</v>
      </c>
      <c r="V89" s="11">
        <v>2.8</v>
      </c>
      <c r="W89" s="11">
        <f>U89-V89</f>
        <v>3.4000000000000004</v>
      </c>
      <c r="X89" s="11">
        <v>18.0</v>
      </c>
      <c r="Y89" s="9">
        <v>6850.0</v>
      </c>
      <c r="Z89" s="10">
        <v>4281.2</v>
      </c>
      <c r="AA89" s="10">
        <v>62.5</v>
      </c>
      <c r="AB89" s="8" t="s">
        <v>50</v>
      </c>
      <c r="AC89" s="10">
        <v>809.8</v>
      </c>
      <c r="AD89" s="10">
        <v>671.9</v>
      </c>
      <c r="AE89" s="10">
        <f>AC89+AD89</f>
        <v>1481.6999999999998</v>
      </c>
      <c r="AF89" s="10">
        <v>881.9</v>
      </c>
      <c r="AG89" s="10">
        <v>509.7</v>
      </c>
      <c r="AH89" s="10">
        <v>175.6</v>
      </c>
      <c r="AI89" s="8" t="s">
        <v>743</v>
      </c>
      <c r="AJ89" s="8" t="s">
        <v>744</v>
      </c>
      <c r="AK89" s="8" t="s">
        <v>490</v>
      </c>
      <c r="AL89" s="8" t="s">
        <v>745</v>
      </c>
    </row>
    <row r="90" spans="8:8" ht="18.75" customHeight="1">
      <c r="A90" s="2" t="s">
        <v>746</v>
      </c>
      <c r="B90" s="3" t="s">
        <v>734</v>
      </c>
      <c r="C90" s="3" t="s">
        <v>747</v>
      </c>
      <c r="D90" s="3" t="s">
        <v>736</v>
      </c>
      <c r="E90" s="3" t="s">
        <v>737</v>
      </c>
      <c r="F90" s="3" t="s">
        <v>748</v>
      </c>
      <c r="G90" s="3" t="s">
        <v>749</v>
      </c>
      <c r="H90" s="3" t="s">
        <v>81</v>
      </c>
      <c r="I90" s="4">
        <v>185.0</v>
      </c>
      <c r="J90" s="4">
        <v>835.0</v>
      </c>
      <c r="K90" s="5">
        <v>837.2</v>
      </c>
      <c r="L90" s="3" t="s">
        <v>741</v>
      </c>
      <c r="M90" s="3" t="s">
        <v>750</v>
      </c>
      <c r="N90" s="3" t="s">
        <v>562</v>
      </c>
      <c r="O90" s="4">
        <v>49.0</v>
      </c>
      <c r="P90" s="5">
        <v>703.2</v>
      </c>
      <c r="Q90" s="6">
        <v>33.5</v>
      </c>
      <c r="R90" s="5">
        <v>50.2</v>
      </c>
      <c r="S90" s="5">
        <v>50.3</v>
      </c>
      <c r="T90" s="3" t="s">
        <v>751</v>
      </c>
      <c r="U90" s="6">
        <v>16.4</v>
      </c>
      <c r="V90" s="6">
        <v>11.8</v>
      </c>
      <c r="W90" s="6">
        <f>U90-V90</f>
        <v>4.599999999999998</v>
      </c>
      <c r="X90" s="6">
        <v>16.5</v>
      </c>
      <c r="Y90" s="4">
        <v>8450.0</v>
      </c>
      <c r="Z90" s="5">
        <v>7452.9</v>
      </c>
      <c r="AA90" s="5">
        <v>88.2</v>
      </c>
      <c r="AB90" s="3" t="s">
        <v>106</v>
      </c>
      <c r="AC90" s="5">
        <v>576.2</v>
      </c>
      <c r="AD90" s="5">
        <v>694.5</v>
      </c>
      <c r="AE90" s="5">
        <f>AC90+AD90</f>
        <v>1270.7</v>
      </c>
      <c r="AF90" s="5">
        <v>686.5</v>
      </c>
      <c r="AG90" s="5">
        <v>493.2</v>
      </c>
      <c r="AH90" s="5">
        <v>174.1</v>
      </c>
      <c r="AI90" s="3" t="s">
        <v>730</v>
      </c>
      <c r="AJ90" s="3" t="s">
        <v>731</v>
      </c>
      <c r="AK90" s="3" t="s">
        <v>490</v>
      </c>
      <c r="AL90" s="3" t="s">
        <v>732</v>
      </c>
    </row>
    <row r="91" spans="8:8" ht="18.75" customHeight="1">
      <c r="A91" s="7" t="s">
        <v>752</v>
      </c>
      <c r="B91" s="8" t="s">
        <v>734</v>
      </c>
      <c r="C91" s="8" t="s">
        <v>753</v>
      </c>
      <c r="D91" s="8" t="s">
        <v>736</v>
      </c>
      <c r="E91" s="8" t="s">
        <v>737</v>
      </c>
      <c r="F91" s="8" t="s">
        <v>754</v>
      </c>
      <c r="G91" s="8" t="s">
        <v>755</v>
      </c>
      <c r="H91" s="8" t="s">
        <v>709</v>
      </c>
      <c r="I91" s="9">
        <v>175.0</v>
      </c>
      <c r="J91" s="9">
        <v>965.0</v>
      </c>
      <c r="K91" s="10">
        <v>960.5</v>
      </c>
      <c r="L91" s="8" t="s">
        <v>171</v>
      </c>
      <c r="M91" s="8" t="s">
        <v>666</v>
      </c>
      <c r="N91" s="8" t="s">
        <v>486</v>
      </c>
      <c r="O91" s="9">
        <v>56.0</v>
      </c>
      <c r="P91" s="10">
        <v>826.0</v>
      </c>
      <c r="Q91" s="11">
        <v>38.4</v>
      </c>
      <c r="R91" s="11">
        <v>48.0</v>
      </c>
      <c r="S91" s="11">
        <v>48.1</v>
      </c>
      <c r="T91" s="8" t="s">
        <v>756</v>
      </c>
      <c r="U91" s="11">
        <v>11.2</v>
      </c>
      <c r="V91" s="11">
        <v>6.8</v>
      </c>
      <c r="W91" s="11">
        <f>U91-V91</f>
        <v>4.3999999999999995</v>
      </c>
      <c r="X91" s="11">
        <v>16.0</v>
      </c>
      <c r="Y91" s="9">
        <v>7620.0</v>
      </c>
      <c r="Z91" s="10">
        <v>6050.3</v>
      </c>
      <c r="AA91" s="10">
        <v>79.4</v>
      </c>
      <c r="AB91" s="8" t="s">
        <v>106</v>
      </c>
      <c r="AC91" s="10">
        <v>660.2</v>
      </c>
      <c r="AD91" s="10">
        <v>644.2</v>
      </c>
      <c r="AE91" s="10">
        <f>AC91+AD91</f>
        <v>1304.4</v>
      </c>
      <c r="AF91" s="10">
        <v>755.0</v>
      </c>
      <c r="AG91" s="10">
        <v>465.7</v>
      </c>
      <c r="AH91" s="10">
        <v>162.5</v>
      </c>
      <c r="AI91" s="8" t="s">
        <v>488</v>
      </c>
      <c r="AJ91" s="8" t="s">
        <v>489</v>
      </c>
      <c r="AK91" s="8" t="s">
        <v>490</v>
      </c>
      <c r="AL91" s="8" t="s">
        <v>491</v>
      </c>
    </row>
    <row r="92" spans="8:8" ht="18.75" customHeight="1">
      <c r="A92" s="2" t="s">
        <v>757</v>
      </c>
      <c r="B92" s="3" t="s">
        <v>734</v>
      </c>
      <c r="C92" s="3" t="s">
        <v>758</v>
      </c>
      <c r="D92" s="3" t="s">
        <v>736</v>
      </c>
      <c r="E92" s="3" t="s">
        <v>737</v>
      </c>
      <c r="F92" s="3" t="s">
        <v>759</v>
      </c>
      <c r="G92" s="3" t="s">
        <v>760</v>
      </c>
      <c r="H92" s="3" t="s">
        <v>571</v>
      </c>
      <c r="I92" s="4">
        <v>150.0</v>
      </c>
      <c r="J92" s="4">
        <v>685.0</v>
      </c>
      <c r="K92" s="5">
        <v>676.8</v>
      </c>
      <c r="L92" s="3" t="s">
        <v>171</v>
      </c>
      <c r="M92" s="3" t="s">
        <v>761</v>
      </c>
      <c r="N92" s="3" t="s">
        <v>562</v>
      </c>
      <c r="O92" s="4">
        <v>41.0</v>
      </c>
      <c r="P92" s="5">
        <v>588.8</v>
      </c>
      <c r="Q92" s="6">
        <v>27.1</v>
      </c>
      <c r="R92" s="6">
        <v>27.1</v>
      </c>
      <c r="S92" s="6">
        <v>33.8</v>
      </c>
      <c r="T92" s="3" t="s">
        <v>762</v>
      </c>
      <c r="U92" s="6">
        <v>18.6</v>
      </c>
      <c r="V92" s="6">
        <v>13.5</v>
      </c>
      <c r="W92" s="6">
        <f>U92-V92</f>
        <v>5.100000000000001</v>
      </c>
      <c r="X92" s="6">
        <v>14.0</v>
      </c>
      <c r="Y92" s="4">
        <v>6450.0</v>
      </c>
      <c r="Z92" s="5">
        <v>5579.2</v>
      </c>
      <c r="AA92" s="5">
        <v>86.5</v>
      </c>
      <c r="AB92" s="3" t="s">
        <v>106</v>
      </c>
      <c r="AC92" s="5">
        <v>464.8</v>
      </c>
      <c r="AD92" s="5">
        <v>653.3</v>
      </c>
      <c r="AE92" s="5">
        <f>AC92+AD92</f>
        <v>1118.1</v>
      </c>
      <c r="AF92" s="5">
        <v>596.4</v>
      </c>
      <c r="AG92" s="5">
        <v>434.8</v>
      </c>
      <c r="AH92" s="5">
        <v>154.4</v>
      </c>
      <c r="AI92" s="3" t="s">
        <v>227</v>
      </c>
      <c r="AJ92" s="3" t="s">
        <v>228</v>
      </c>
      <c r="AK92" s="3" t="s">
        <v>229</v>
      </c>
      <c r="AL92" s="3" t="s">
        <v>230</v>
      </c>
    </row>
    <row r="93" spans="8:8" ht="18.75" customHeight="1">
      <c r="A93" s="7" t="s">
        <v>763</v>
      </c>
      <c r="B93" s="8" t="s">
        <v>734</v>
      </c>
      <c r="C93" s="8" t="s">
        <v>764</v>
      </c>
      <c r="D93" s="8" t="s">
        <v>736</v>
      </c>
      <c r="E93" s="8" t="s">
        <v>765</v>
      </c>
      <c r="F93" s="8" t="s">
        <v>766</v>
      </c>
      <c r="G93" s="8" t="s">
        <v>767</v>
      </c>
      <c r="H93" s="8" t="s">
        <v>81</v>
      </c>
      <c r="I93" s="9">
        <v>175.0</v>
      </c>
      <c r="J93" s="9">
        <v>890.0</v>
      </c>
      <c r="K93" s="10">
        <v>884.1</v>
      </c>
      <c r="L93" s="8" t="s">
        <v>171</v>
      </c>
      <c r="M93" s="8" t="s">
        <v>768</v>
      </c>
      <c r="N93" s="8" t="s">
        <v>581</v>
      </c>
      <c r="O93" s="9">
        <v>52.0</v>
      </c>
      <c r="P93" s="10">
        <v>769.2</v>
      </c>
      <c r="Q93" s="11">
        <v>44.2</v>
      </c>
      <c r="R93" s="11">
        <v>35.4</v>
      </c>
      <c r="S93" s="11">
        <v>35.3</v>
      </c>
      <c r="T93" s="8" t="s">
        <v>769</v>
      </c>
      <c r="U93" s="11">
        <v>10.4</v>
      </c>
      <c r="V93" s="11">
        <v>5.6</v>
      </c>
      <c r="W93" s="11">
        <f>U93-V93</f>
        <v>4.800000000000001</v>
      </c>
      <c r="X93" s="11">
        <v>16.0</v>
      </c>
      <c r="Y93" s="9">
        <v>12450.0</v>
      </c>
      <c r="Z93" s="10">
        <v>8864.4</v>
      </c>
      <c r="AA93" s="10">
        <v>71.2</v>
      </c>
      <c r="AB93" s="8" t="s">
        <v>106</v>
      </c>
      <c r="AC93" s="10">
        <v>607.5</v>
      </c>
      <c r="AD93" s="10">
        <v>702.8</v>
      </c>
      <c r="AE93" s="10">
        <f>AC93+AD93</f>
        <v>1310.3</v>
      </c>
      <c r="AF93" s="10">
        <v>733.9</v>
      </c>
      <c r="AG93" s="10">
        <v>489.9</v>
      </c>
      <c r="AH93" s="10">
        <v>165.3</v>
      </c>
      <c r="AI93" s="8" t="s">
        <v>488</v>
      </c>
      <c r="AJ93" s="8" t="s">
        <v>489</v>
      </c>
      <c r="AK93" s="8" t="s">
        <v>490</v>
      </c>
      <c r="AL93" s="8" t="s">
        <v>491</v>
      </c>
    </row>
    <row r="94" spans="8:8" ht="18.75" customHeight="1">
      <c r="A94" s="2" t="s">
        <v>770</v>
      </c>
      <c r="B94" s="3" t="s">
        <v>734</v>
      </c>
      <c r="C94" s="3" t="s">
        <v>771</v>
      </c>
      <c r="D94" s="3" t="s">
        <v>461</v>
      </c>
      <c r="E94" s="3" t="s">
        <v>737</v>
      </c>
      <c r="F94" s="3" t="s">
        <v>772</v>
      </c>
      <c r="G94" s="3" t="s">
        <v>773</v>
      </c>
      <c r="H94" s="3" t="s">
        <v>189</v>
      </c>
      <c r="I94" s="4">
        <v>145.0</v>
      </c>
      <c r="J94" s="4">
        <v>850.0</v>
      </c>
      <c r="K94" s="5">
        <v>838.1</v>
      </c>
      <c r="L94" s="3" t="s">
        <v>171</v>
      </c>
      <c r="M94" s="3" t="s">
        <v>497</v>
      </c>
      <c r="N94" s="3" t="s">
        <v>774</v>
      </c>
      <c r="O94" s="4">
        <v>49.0</v>
      </c>
      <c r="P94" s="5">
        <v>754.3</v>
      </c>
      <c r="Q94" s="6">
        <v>33.5</v>
      </c>
      <c r="R94" s="6">
        <v>25.1</v>
      </c>
      <c r="S94" s="6">
        <v>25.2</v>
      </c>
      <c r="T94" s="3" t="s">
        <v>775</v>
      </c>
      <c r="U94" s="6">
        <v>12.8</v>
      </c>
      <c r="V94" s="6">
        <v>6.4</v>
      </c>
      <c r="W94" s="6">
        <f>U94-V94</f>
        <v>6.4</v>
      </c>
      <c r="X94" s="6">
        <v>3.5</v>
      </c>
      <c r="Y94" s="4">
        <v>4120.0</v>
      </c>
      <c r="Z94" s="5">
        <v>2801.6</v>
      </c>
      <c r="AA94" s="5">
        <v>68.0</v>
      </c>
      <c r="AB94" s="3" t="s">
        <v>50</v>
      </c>
      <c r="AC94" s="5">
        <v>574.5</v>
      </c>
      <c r="AD94" s="5">
        <v>246.0</v>
      </c>
      <c r="AE94" s="5">
        <f>AC94+AD94</f>
        <v>820.5</v>
      </c>
      <c r="AF94" s="5">
        <v>586.7</v>
      </c>
      <c r="AG94" s="5">
        <v>232.2</v>
      </c>
      <c r="AH94" s="5">
        <v>66.8</v>
      </c>
      <c r="AI94" s="3" t="s">
        <v>175</v>
      </c>
      <c r="AJ94" s="3" t="s">
        <v>176</v>
      </c>
      <c r="AK94" s="3" t="s">
        <v>155</v>
      </c>
      <c r="AL94" s="3" t="s">
        <v>177</v>
      </c>
    </row>
    <row r="95" spans="8:8" ht="18.75" customHeight="1">
      <c r="A95" s="7" t="s">
        <v>776</v>
      </c>
      <c r="B95" s="8" t="s">
        <v>734</v>
      </c>
      <c r="C95" s="8" t="s">
        <v>777</v>
      </c>
      <c r="D95" s="8" t="s">
        <v>778</v>
      </c>
      <c r="E95" s="8" t="s">
        <v>765</v>
      </c>
      <c r="F95" s="8" t="s">
        <v>779</v>
      </c>
      <c r="G95" s="8" t="s">
        <v>780</v>
      </c>
      <c r="H95" s="8" t="s">
        <v>404</v>
      </c>
      <c r="I95" s="9">
        <v>185.0</v>
      </c>
      <c r="J95" s="9">
        <v>1210.0</v>
      </c>
      <c r="K95" s="10">
        <v>1199.5</v>
      </c>
      <c r="L95" s="8" t="s">
        <v>397</v>
      </c>
      <c r="M95" s="8" t="s">
        <v>464</v>
      </c>
      <c r="N95" s="8" t="s">
        <v>479</v>
      </c>
      <c r="O95" s="9">
        <v>73.0</v>
      </c>
      <c r="P95" s="10">
        <v>1043.6</v>
      </c>
      <c r="Q95" s="10">
        <v>60.0</v>
      </c>
      <c r="R95" s="11">
        <v>36.0</v>
      </c>
      <c r="S95" s="10">
        <v>59.9</v>
      </c>
      <c r="T95" s="8" t="s">
        <v>781</v>
      </c>
      <c r="U95" s="11">
        <v>5.8</v>
      </c>
      <c r="V95" s="11">
        <v>2.4</v>
      </c>
      <c r="W95" s="11">
        <f>U95-V95</f>
        <v>3.4</v>
      </c>
      <c r="X95" s="11">
        <v>17.0</v>
      </c>
      <c r="Y95" s="9">
        <v>11850.0</v>
      </c>
      <c r="Z95" s="10">
        <v>6920.4</v>
      </c>
      <c r="AA95" s="10">
        <v>58.4</v>
      </c>
      <c r="AB95" s="8" t="s">
        <v>50</v>
      </c>
      <c r="AC95" s="10">
        <v>823.5</v>
      </c>
      <c r="AD95" s="10">
        <v>634.7</v>
      </c>
      <c r="AE95" s="10">
        <f>AC95+AD95</f>
        <v>1458.2</v>
      </c>
      <c r="AF95" s="10">
        <v>900.0</v>
      </c>
      <c r="AG95" s="10">
        <v>472.6</v>
      </c>
      <c r="AH95" s="10">
        <v>168.8</v>
      </c>
      <c r="AI95" s="8" t="s">
        <v>782</v>
      </c>
      <c r="AJ95" s="8" t="s">
        <v>783</v>
      </c>
      <c r="AK95" s="8" t="s">
        <v>229</v>
      </c>
      <c r="AL95" s="8" t="s">
        <v>784</v>
      </c>
    </row>
    <row r="96" spans="8:8" ht="18.75" customHeight="1">
      <c r="A96" s="2" t="s">
        <v>785</v>
      </c>
      <c r="B96" s="3" t="s">
        <v>734</v>
      </c>
      <c r="C96" s="3" t="s">
        <v>786</v>
      </c>
      <c r="D96" s="3" t="s">
        <v>778</v>
      </c>
      <c r="E96" s="3" t="s">
        <v>765</v>
      </c>
      <c r="F96" s="3" t="s">
        <v>787</v>
      </c>
      <c r="G96" s="3" t="s">
        <v>788</v>
      </c>
      <c r="H96" s="3" t="s">
        <v>504</v>
      </c>
      <c r="I96" s="4">
        <v>180.0</v>
      </c>
      <c r="J96" s="4">
        <v>1015.0</v>
      </c>
      <c r="K96" s="5">
        <v>1011.6</v>
      </c>
      <c r="L96" s="3" t="s">
        <v>171</v>
      </c>
      <c r="M96" s="3" t="s">
        <v>456</v>
      </c>
      <c r="N96" s="3" t="s">
        <v>479</v>
      </c>
      <c r="O96" s="4">
        <v>63.0</v>
      </c>
      <c r="P96" s="5">
        <v>880.1</v>
      </c>
      <c r="Q96" s="5">
        <v>50.6</v>
      </c>
      <c r="R96" s="6">
        <v>40.5</v>
      </c>
      <c r="S96" s="6">
        <v>40.4</v>
      </c>
      <c r="T96" s="3" t="s">
        <v>789</v>
      </c>
      <c r="U96" s="6">
        <v>9.6</v>
      </c>
      <c r="V96" s="6">
        <v>4.8</v>
      </c>
      <c r="W96" s="6">
        <f>U96-V96</f>
        <v>4.8</v>
      </c>
      <c r="X96" s="6">
        <v>16.0</v>
      </c>
      <c r="Y96" s="4">
        <v>13200.0</v>
      </c>
      <c r="Z96" s="5">
        <v>9609.6</v>
      </c>
      <c r="AA96" s="5">
        <v>72.8</v>
      </c>
      <c r="AB96" s="3" t="s">
        <v>106</v>
      </c>
      <c r="AC96" s="5">
        <v>695.1</v>
      </c>
      <c r="AD96" s="5">
        <v>702.8</v>
      </c>
      <c r="AE96" s="5">
        <f>AC96+AD96</f>
        <v>1397.9</v>
      </c>
      <c r="AF96" s="5">
        <v>809.3</v>
      </c>
      <c r="AG96" s="5">
        <v>500.7</v>
      </c>
      <c r="AH96" s="5">
        <v>168.9</v>
      </c>
      <c r="AI96" s="3" t="s">
        <v>488</v>
      </c>
      <c r="AJ96" s="3" t="s">
        <v>489</v>
      </c>
      <c r="AK96" s="3" t="s">
        <v>490</v>
      </c>
      <c r="AL96" s="3" t="s">
        <v>491</v>
      </c>
    </row>
    <row r="97" spans="8:8" ht="18.75" customHeight="1">
      <c r="A97" s="7" t="s">
        <v>790</v>
      </c>
      <c r="B97" s="8" t="s">
        <v>734</v>
      </c>
      <c r="C97" s="8" t="s">
        <v>791</v>
      </c>
      <c r="D97" s="8" t="s">
        <v>778</v>
      </c>
      <c r="E97" s="8" t="s">
        <v>765</v>
      </c>
      <c r="F97" s="8" t="s">
        <v>792</v>
      </c>
      <c r="G97" s="8" t="s">
        <v>793</v>
      </c>
      <c r="H97" s="8" t="s">
        <v>120</v>
      </c>
      <c r="I97" s="9">
        <v>140.0</v>
      </c>
      <c r="J97" s="9">
        <v>1085.0</v>
      </c>
      <c r="K97" s="10">
        <v>1087.2</v>
      </c>
      <c r="L97" s="8" t="s">
        <v>171</v>
      </c>
      <c r="M97" s="8" t="s">
        <v>456</v>
      </c>
      <c r="N97" s="8" t="s">
        <v>479</v>
      </c>
      <c r="O97" s="9">
        <v>67.0</v>
      </c>
      <c r="P97" s="10">
        <v>956.7</v>
      </c>
      <c r="Q97" s="10">
        <v>54.4</v>
      </c>
      <c r="R97" s="11">
        <v>43.5</v>
      </c>
      <c r="S97" s="11">
        <v>32.6</v>
      </c>
      <c r="T97" s="8" t="s">
        <v>794</v>
      </c>
      <c r="U97" s="11">
        <v>11.4</v>
      </c>
      <c r="V97" s="11">
        <v>5.2</v>
      </c>
      <c r="W97" s="11">
        <f>U97-V97</f>
        <v>6.2</v>
      </c>
      <c r="X97" s="11">
        <v>4.5</v>
      </c>
      <c r="Y97" s="9">
        <v>2450.0</v>
      </c>
      <c r="Z97" s="10">
        <v>1494.5</v>
      </c>
      <c r="AA97" s="10">
        <v>61.0</v>
      </c>
      <c r="AB97" s="8" t="s">
        <v>50</v>
      </c>
      <c r="AC97" s="10">
        <v>746.8</v>
      </c>
      <c r="AD97" s="10">
        <v>306.4</v>
      </c>
      <c r="AE97" s="10">
        <f>AC97+AD97</f>
        <v>1053.1999999999998</v>
      </c>
      <c r="AF97" s="10">
        <v>742.5</v>
      </c>
      <c r="AG97" s="10">
        <v>289.6</v>
      </c>
      <c r="AH97" s="10">
        <v>84.1</v>
      </c>
      <c r="AI97" s="8" t="s">
        <v>175</v>
      </c>
      <c r="AJ97" s="8" t="s">
        <v>176</v>
      </c>
      <c r="AK97" s="8" t="s">
        <v>155</v>
      </c>
      <c r="AL97" s="8" t="s">
        <v>177</v>
      </c>
    </row>
    <row r="98" spans="8:8" ht="18.75" customHeight="1">
      <c r="A98" s="2" t="s">
        <v>795</v>
      </c>
      <c r="B98" s="3" t="s">
        <v>796</v>
      </c>
      <c r="C98" s="3" t="s">
        <v>797</v>
      </c>
      <c r="D98" s="3" t="s">
        <v>778</v>
      </c>
      <c r="E98" s="3" t="s">
        <v>796</v>
      </c>
      <c r="F98" s="3" t="s">
        <v>798</v>
      </c>
      <c r="G98" s="3" t="s">
        <v>799</v>
      </c>
      <c r="H98" s="3" t="s">
        <v>243</v>
      </c>
      <c r="I98" s="4">
        <v>185.0</v>
      </c>
      <c r="J98" s="4">
        <v>1235.0</v>
      </c>
      <c r="K98" s="5">
        <v>1228.4</v>
      </c>
      <c r="L98" s="3" t="s">
        <v>171</v>
      </c>
      <c r="M98" s="3" t="s">
        <v>442</v>
      </c>
      <c r="N98" s="3" t="s">
        <v>510</v>
      </c>
      <c r="O98" s="4">
        <v>74.0</v>
      </c>
      <c r="P98" s="5">
        <v>1031.9</v>
      </c>
      <c r="Q98" s="5">
        <v>73.7</v>
      </c>
      <c r="R98" s="6">
        <v>36.9</v>
      </c>
      <c r="S98" s="5">
        <v>85.9</v>
      </c>
      <c r="T98" s="3" t="s">
        <v>800</v>
      </c>
      <c r="U98" s="6">
        <v>5.6</v>
      </c>
      <c r="V98" s="6">
        <v>2.2</v>
      </c>
      <c r="W98" s="6">
        <f>U98-V98</f>
        <v>3.3999999999999995</v>
      </c>
      <c r="X98" s="6">
        <v>17.5</v>
      </c>
      <c r="Y98" s="4">
        <v>11450.0</v>
      </c>
      <c r="Z98" s="5">
        <v>5954.0</v>
      </c>
      <c r="AA98" s="5">
        <v>52.0</v>
      </c>
      <c r="AB98" s="3" t="s">
        <v>50</v>
      </c>
      <c r="AC98" s="5">
        <v>844.7</v>
      </c>
      <c r="AD98" s="5">
        <v>653.3</v>
      </c>
      <c r="AE98" s="5">
        <f>AC98+AD98</f>
        <v>1498.0</v>
      </c>
      <c r="AF98" s="5">
        <v>897.7</v>
      </c>
      <c r="AG98" s="5">
        <v>492.7</v>
      </c>
      <c r="AH98" s="5">
        <v>190.8</v>
      </c>
      <c r="AI98" s="3" t="s">
        <v>782</v>
      </c>
      <c r="AJ98" s="3" t="s">
        <v>783</v>
      </c>
      <c r="AK98" s="3" t="s">
        <v>229</v>
      </c>
      <c r="AL98" s="3" t="s">
        <v>784</v>
      </c>
    </row>
    <row r="99" spans="8:8" ht="18.75" customHeight="1">
      <c r="A99" s="7" t="s">
        <v>801</v>
      </c>
      <c r="B99" s="8" t="s">
        <v>796</v>
      </c>
      <c r="C99" s="8" t="s">
        <v>802</v>
      </c>
      <c r="D99" s="8" t="s">
        <v>778</v>
      </c>
      <c r="E99" s="8" t="s">
        <v>796</v>
      </c>
      <c r="F99" s="8" t="s">
        <v>803</v>
      </c>
      <c r="G99" s="8" t="s">
        <v>804</v>
      </c>
      <c r="H99" s="8" t="s">
        <v>805</v>
      </c>
      <c r="I99" s="9">
        <v>170.0</v>
      </c>
      <c r="J99" s="9">
        <v>1445.0</v>
      </c>
      <c r="K99" s="10">
        <v>1445.0</v>
      </c>
      <c r="L99" s="8" t="s">
        <v>806</v>
      </c>
      <c r="M99" s="8" t="s">
        <v>807</v>
      </c>
      <c r="N99" s="8" t="s">
        <v>398</v>
      </c>
      <c r="O99" s="9">
        <v>86.0</v>
      </c>
      <c r="P99" s="10">
        <v>1170.5</v>
      </c>
      <c r="Q99" s="10">
        <v>86.7</v>
      </c>
      <c r="R99" s="11">
        <v>28.9</v>
      </c>
      <c r="S99" s="10">
        <v>158.9</v>
      </c>
      <c r="T99" s="8" t="s">
        <v>808</v>
      </c>
      <c r="U99" s="11">
        <v>4.4</v>
      </c>
      <c r="V99" s="11">
        <v>1.8</v>
      </c>
      <c r="W99" s="11">
        <f>U99-V99</f>
        <v>2.6000000000000005</v>
      </c>
      <c r="X99" s="11">
        <v>18.0</v>
      </c>
      <c r="Y99" s="9">
        <v>9250.0</v>
      </c>
      <c r="Z99" s="10">
        <v>3838.8</v>
      </c>
      <c r="AA99" s="11">
        <v>41.5</v>
      </c>
      <c r="AB99" s="8" t="s">
        <v>50</v>
      </c>
      <c r="AC99" s="10">
        <v>993.8</v>
      </c>
      <c r="AD99" s="10">
        <v>513.9</v>
      </c>
      <c r="AE99" s="10">
        <f>AC99+AD99</f>
        <v>1507.6999999999998</v>
      </c>
      <c r="AF99" s="10">
        <v>950.1</v>
      </c>
      <c r="AG99" s="10">
        <v>420.1</v>
      </c>
      <c r="AH99" s="10">
        <v>214.0</v>
      </c>
      <c r="AI99" s="8" t="s">
        <v>782</v>
      </c>
      <c r="AJ99" s="8" t="s">
        <v>783</v>
      </c>
      <c r="AK99" s="8" t="s">
        <v>229</v>
      </c>
      <c r="AL99" s="8" t="s">
        <v>784</v>
      </c>
    </row>
    <row r="100" spans="8:8" ht="18.75" customHeight="1">
      <c r="A100" s="2" t="s">
        <v>809</v>
      </c>
      <c r="B100" s="3" t="s">
        <v>796</v>
      </c>
      <c r="C100" s="3" t="s">
        <v>810</v>
      </c>
      <c r="D100" s="3" t="s">
        <v>778</v>
      </c>
      <c r="E100" s="3" t="s">
        <v>796</v>
      </c>
      <c r="F100" s="3" t="s">
        <v>811</v>
      </c>
      <c r="G100" s="3" t="s">
        <v>812</v>
      </c>
      <c r="H100" s="3" t="s">
        <v>504</v>
      </c>
      <c r="I100" s="4">
        <v>175.0</v>
      </c>
      <c r="J100" s="4">
        <v>1115.0</v>
      </c>
      <c r="K100" s="5">
        <v>1106.8</v>
      </c>
      <c r="L100" s="3" t="s">
        <v>171</v>
      </c>
      <c r="M100" s="3" t="s">
        <v>442</v>
      </c>
      <c r="N100" s="3" t="s">
        <v>813</v>
      </c>
      <c r="O100" s="4">
        <v>68.0</v>
      </c>
      <c r="P100" s="5">
        <v>929.7</v>
      </c>
      <c r="Q100" s="5">
        <v>77.5</v>
      </c>
      <c r="R100" s="6">
        <v>33.2</v>
      </c>
      <c r="S100" s="5">
        <v>66.4</v>
      </c>
      <c r="T100" s="3" t="s">
        <v>814</v>
      </c>
      <c r="U100" s="6">
        <v>7.8</v>
      </c>
      <c r="V100" s="6">
        <v>3.6</v>
      </c>
      <c r="W100" s="6">
        <f>U100-V100</f>
        <v>4.199999999999999</v>
      </c>
      <c r="X100" s="6">
        <v>12.0</v>
      </c>
      <c r="Y100" s="4">
        <v>4650.0</v>
      </c>
      <c r="Z100" s="5">
        <v>2706.3</v>
      </c>
      <c r="AA100" s="5">
        <v>58.2</v>
      </c>
      <c r="AB100" s="3" t="s">
        <v>50</v>
      </c>
      <c r="AC100" s="5">
        <v>761.7</v>
      </c>
      <c r="AD100" s="5">
        <v>553.4</v>
      </c>
      <c r="AE100" s="5">
        <f>AC100+AD100</f>
        <v>1315.1</v>
      </c>
      <c r="AF100" s="5">
        <v>798.2</v>
      </c>
      <c r="AG100" s="5">
        <v>438.5</v>
      </c>
      <c r="AH100" s="5">
        <v>157.2</v>
      </c>
      <c r="AI100" s="3" t="s">
        <v>743</v>
      </c>
      <c r="AJ100" s="3" t="s">
        <v>744</v>
      </c>
      <c r="AK100" s="3" t="s">
        <v>490</v>
      </c>
      <c r="AL100" s="3" t="s">
        <v>745</v>
      </c>
    </row>
    <row r="101" spans="8:8" ht="18.75" customHeight="1">
      <c r="A101" s="7" t="s">
        <v>815</v>
      </c>
      <c r="B101" s="8" t="s">
        <v>796</v>
      </c>
      <c r="C101" s="8" t="s">
        <v>816</v>
      </c>
      <c r="D101" s="8" t="s">
        <v>778</v>
      </c>
      <c r="E101" s="8" t="s">
        <v>796</v>
      </c>
      <c r="F101" s="8" t="s">
        <v>817</v>
      </c>
      <c r="G101" s="8" t="s">
        <v>818</v>
      </c>
      <c r="H101" s="8" t="s">
        <v>81</v>
      </c>
      <c r="I101" s="9">
        <v>180.0</v>
      </c>
      <c r="J101" s="9">
        <v>995.0</v>
      </c>
      <c r="K101" s="10">
        <v>980.4</v>
      </c>
      <c r="L101" s="8" t="s">
        <v>171</v>
      </c>
      <c r="M101" s="8" t="s">
        <v>464</v>
      </c>
      <c r="N101" s="8" t="s">
        <v>479</v>
      </c>
      <c r="O101" s="9">
        <v>57.0</v>
      </c>
      <c r="P101" s="10">
        <v>843.1</v>
      </c>
      <c r="Q101" s="10">
        <v>58.8</v>
      </c>
      <c r="R101" s="11">
        <v>39.2</v>
      </c>
      <c r="S101" s="11">
        <v>39.3</v>
      </c>
      <c r="T101" s="8" t="s">
        <v>819</v>
      </c>
      <c r="U101" s="11">
        <v>8.5</v>
      </c>
      <c r="V101" s="11">
        <v>4.1</v>
      </c>
      <c r="W101" s="11">
        <f>U101-V101</f>
        <v>4.4</v>
      </c>
      <c r="X101" s="11">
        <v>15.0</v>
      </c>
      <c r="Y101" s="9">
        <v>8850.0</v>
      </c>
      <c r="Z101" s="10">
        <v>5708.2</v>
      </c>
      <c r="AA101" s="10">
        <v>64.5</v>
      </c>
      <c r="AB101" s="8" t="s">
        <v>50</v>
      </c>
      <c r="AC101" s="10">
        <v>674.3</v>
      </c>
      <c r="AD101" s="10">
        <v>724.7</v>
      </c>
      <c r="AE101" s="10">
        <f>AC101+AD101</f>
        <v>1399.0</v>
      </c>
      <c r="AF101" s="10">
        <v>790.7</v>
      </c>
      <c r="AG101" s="10">
        <v>516.9</v>
      </c>
      <c r="AH101" s="10">
        <v>172.4</v>
      </c>
      <c r="AI101" s="8" t="s">
        <v>743</v>
      </c>
      <c r="AJ101" s="8" t="s">
        <v>744</v>
      </c>
      <c r="AK101" s="8" t="s">
        <v>490</v>
      </c>
      <c r="AL101" s="8" t="s">
        <v>745</v>
      </c>
    </row>
    <row r="102" spans="8:8" ht="18.75" customHeight="1">
      <c r="A102" s="2" t="s">
        <v>820</v>
      </c>
      <c r="B102" s="3" t="s">
        <v>821</v>
      </c>
      <c r="C102" s="3" t="s">
        <v>822</v>
      </c>
      <c r="D102" s="3" t="s">
        <v>447</v>
      </c>
      <c r="E102" s="3" t="s">
        <v>821</v>
      </c>
      <c r="F102" s="3" t="s">
        <v>823</v>
      </c>
      <c r="G102" s="3" t="s">
        <v>824</v>
      </c>
      <c r="H102" s="3" t="s">
        <v>120</v>
      </c>
      <c r="I102" s="4">
        <v>135.0</v>
      </c>
      <c r="J102" s="4">
        <v>1310.0</v>
      </c>
      <c r="K102" s="5">
        <v>1297.8</v>
      </c>
      <c r="L102" s="3" t="s">
        <v>171</v>
      </c>
      <c r="M102" s="3" t="s">
        <v>442</v>
      </c>
      <c r="N102" s="3" t="s">
        <v>398</v>
      </c>
      <c r="O102" s="4">
        <v>78.0</v>
      </c>
      <c r="P102" s="5">
        <v>1077.2</v>
      </c>
      <c r="Q102" s="5">
        <v>90.8</v>
      </c>
      <c r="R102" s="6">
        <v>38.9</v>
      </c>
      <c r="S102" s="5">
        <v>90.9</v>
      </c>
      <c r="T102" s="3" t="s">
        <v>825</v>
      </c>
      <c r="U102" s="6">
        <v>9.6</v>
      </c>
      <c r="V102" s="6">
        <v>3.8</v>
      </c>
      <c r="W102" s="6">
        <f>U102-V102</f>
        <v>5.8</v>
      </c>
      <c r="X102" s="6">
        <v>3.5</v>
      </c>
      <c r="Y102" s="4">
        <v>3420.0</v>
      </c>
      <c r="Z102" s="5">
        <v>1060.2</v>
      </c>
      <c r="AA102" s="6">
        <v>31.0</v>
      </c>
      <c r="AB102" s="3" t="s">
        <v>50</v>
      </c>
      <c r="AC102" s="5">
        <v>893.4</v>
      </c>
      <c r="AD102" s="5">
        <v>222.9</v>
      </c>
      <c r="AE102" s="5">
        <f>AC102+AD102</f>
        <v>1116.3</v>
      </c>
      <c r="AF102" s="5">
        <v>799.4</v>
      </c>
      <c r="AG102" s="5">
        <v>269.6</v>
      </c>
      <c r="AH102" s="5">
        <v>108.2</v>
      </c>
      <c r="AI102" s="3" t="s">
        <v>523</v>
      </c>
      <c r="AJ102" s="3" t="s">
        <v>524</v>
      </c>
      <c r="AK102" s="3" t="s">
        <v>125</v>
      </c>
      <c r="AL102" s="3" t="s">
        <v>525</v>
      </c>
    </row>
    <row r="103" spans="8:8" ht="18.75" customHeight="1">
      <c r="A103" s="7" t="s">
        <v>826</v>
      </c>
      <c r="B103" s="8" t="s">
        <v>821</v>
      </c>
      <c r="C103" s="8" t="s">
        <v>827</v>
      </c>
      <c r="D103" s="8" t="s">
        <v>447</v>
      </c>
      <c r="E103" s="8" t="s">
        <v>821</v>
      </c>
      <c r="F103" s="8" t="s">
        <v>828</v>
      </c>
      <c r="G103" s="8" t="s">
        <v>829</v>
      </c>
      <c r="H103" s="8" t="s">
        <v>59</v>
      </c>
      <c r="I103" s="9">
        <v>125.0</v>
      </c>
      <c r="J103" s="9">
        <v>1165.0</v>
      </c>
      <c r="K103" s="10">
        <v>1160.4</v>
      </c>
      <c r="L103" s="8" t="s">
        <v>171</v>
      </c>
      <c r="M103" s="8" t="s">
        <v>464</v>
      </c>
      <c r="N103" s="8" t="s">
        <v>813</v>
      </c>
      <c r="O103" s="9">
        <v>71.0</v>
      </c>
      <c r="P103" s="10">
        <v>997.9</v>
      </c>
      <c r="Q103" s="10">
        <v>69.6</v>
      </c>
      <c r="R103" s="11">
        <v>46.4</v>
      </c>
      <c r="S103" s="11">
        <v>46.5</v>
      </c>
      <c r="T103" s="8" t="s">
        <v>830</v>
      </c>
      <c r="U103" s="11">
        <v>10.8</v>
      </c>
      <c r="V103" s="11">
        <v>4.6</v>
      </c>
      <c r="W103" s="11">
        <f>U103-V103</f>
        <v>6.200000000000001</v>
      </c>
      <c r="X103" s="11">
        <v>3.2</v>
      </c>
      <c r="Y103" s="9">
        <v>1850.0</v>
      </c>
      <c r="Z103" s="10">
        <v>638.2</v>
      </c>
      <c r="AA103" s="11">
        <v>34.5</v>
      </c>
      <c r="AB103" s="8" t="s">
        <v>50</v>
      </c>
      <c r="AC103" s="10">
        <v>798.1</v>
      </c>
      <c r="AD103" s="10">
        <v>217.8</v>
      </c>
      <c r="AE103" s="10">
        <f>AC103+AD103</f>
        <v>1015.9000000000001</v>
      </c>
      <c r="AF103" s="10">
        <v>743.9</v>
      </c>
      <c r="AG103" s="10">
        <v>252.1</v>
      </c>
      <c r="AH103" s="10">
        <v>76.1</v>
      </c>
      <c r="AI103" s="8" t="s">
        <v>61</v>
      </c>
      <c r="AJ103" s="8" t="s">
        <v>62</v>
      </c>
      <c r="AK103" s="8" t="s">
        <v>63</v>
      </c>
      <c r="AL103" s="8" t="s">
        <v>64</v>
      </c>
    </row>
    <row r="104" spans="8:8" ht="18.75" customHeight="1">
      <c r="A104" s="2" t="s">
        <v>831</v>
      </c>
      <c r="B104" s="3" t="s">
        <v>821</v>
      </c>
      <c r="C104" s="3" t="s">
        <v>832</v>
      </c>
      <c r="D104" s="3" t="s">
        <v>447</v>
      </c>
      <c r="E104" s="3" t="s">
        <v>821</v>
      </c>
      <c r="F104" s="3" t="s">
        <v>833</v>
      </c>
      <c r="G104" s="3" t="s">
        <v>834</v>
      </c>
      <c r="H104" s="3" t="s">
        <v>120</v>
      </c>
      <c r="I104" s="4">
        <v>140.0</v>
      </c>
      <c r="J104" s="4">
        <v>1365.0</v>
      </c>
      <c r="K104" s="5">
        <v>1349.5</v>
      </c>
      <c r="L104" s="3" t="s">
        <v>132</v>
      </c>
      <c r="M104" s="3" t="s">
        <v>807</v>
      </c>
      <c r="N104" s="3" t="s">
        <v>418</v>
      </c>
      <c r="O104" s="4">
        <v>81.0</v>
      </c>
      <c r="P104" s="5">
        <v>1093.1</v>
      </c>
      <c r="Q104" s="5">
        <v>108.0</v>
      </c>
      <c r="R104" s="6">
        <v>40.5</v>
      </c>
      <c r="S104" s="5">
        <v>107.9</v>
      </c>
      <c r="T104" s="3" t="s">
        <v>835</v>
      </c>
      <c r="U104" s="6">
        <v>8.9</v>
      </c>
      <c r="V104" s="6">
        <v>3.5</v>
      </c>
      <c r="W104" s="6">
        <f>U104-V104</f>
        <v>5.4</v>
      </c>
      <c r="X104" s="6">
        <v>3.5</v>
      </c>
      <c r="Y104" s="4">
        <v>1480.0</v>
      </c>
      <c r="Z104" s="5">
        <v>396.6</v>
      </c>
      <c r="AA104" s="6">
        <v>26.8</v>
      </c>
      <c r="AB104" s="3" t="s">
        <v>50</v>
      </c>
      <c r="AC104" s="5">
        <v>930.2</v>
      </c>
      <c r="AD104" s="5">
        <v>207.5</v>
      </c>
      <c r="AE104" s="5">
        <f>AC104+AD104</f>
        <v>1137.7</v>
      </c>
      <c r="AF104" s="5">
        <v>805.5</v>
      </c>
      <c r="AG104" s="5">
        <v>278.2</v>
      </c>
      <c r="AH104" s="5">
        <v>117.0</v>
      </c>
      <c r="AI104" s="3" t="s">
        <v>488</v>
      </c>
      <c r="AJ104" s="3" t="s">
        <v>489</v>
      </c>
      <c r="AK104" s="3" t="s">
        <v>490</v>
      </c>
      <c r="AL104" s="3" t="s">
        <v>491</v>
      </c>
    </row>
    <row r="105" spans="8:8" ht="18.75" customHeight="1">
      <c r="A105" s="7" t="s">
        <v>836</v>
      </c>
      <c r="B105" s="8" t="s">
        <v>837</v>
      </c>
      <c r="C105" s="8" t="s">
        <v>838</v>
      </c>
      <c r="D105" s="8" t="s">
        <v>839</v>
      </c>
      <c r="E105" s="8" t="s">
        <v>840</v>
      </c>
      <c r="F105" s="8" t="s">
        <v>841</v>
      </c>
      <c r="G105" s="8" t="s">
        <v>842</v>
      </c>
      <c r="H105" s="8" t="s">
        <v>740</v>
      </c>
      <c r="I105" s="9">
        <v>165.0</v>
      </c>
      <c r="J105" s="9">
        <v>2950.0</v>
      </c>
      <c r="K105" s="10">
        <v>2932.3</v>
      </c>
      <c r="L105" s="8" t="s">
        <v>843</v>
      </c>
      <c r="M105" s="8" t="s">
        <v>844</v>
      </c>
      <c r="N105" s="8" t="s">
        <v>418</v>
      </c>
      <c r="O105" s="9">
        <v>145.0</v>
      </c>
      <c r="P105" s="10">
        <v>2345.8</v>
      </c>
      <c r="Q105" s="10">
        <v>175.9</v>
      </c>
      <c r="R105" s="10">
        <v>58.6</v>
      </c>
      <c r="S105" s="10">
        <v>352.0</v>
      </c>
      <c r="T105" s="8" t="s">
        <v>845</v>
      </c>
      <c r="U105" s="11">
        <v>5.2</v>
      </c>
      <c r="V105" s="11">
        <v>2.0</v>
      </c>
      <c r="W105" s="11">
        <f>U105-V105</f>
        <v>3.2</v>
      </c>
      <c r="X105" s="11">
        <v>3.5</v>
      </c>
      <c r="Y105" s="9">
        <v>420.0</v>
      </c>
      <c r="Z105" s="10">
        <v>60.9</v>
      </c>
      <c r="AA105" s="11">
        <v>14.5</v>
      </c>
      <c r="AB105" s="8" t="s">
        <v>50</v>
      </c>
      <c r="AC105" s="10">
        <v>2017.4</v>
      </c>
      <c r="AD105" s="10">
        <v>122.9</v>
      </c>
      <c r="AE105" s="10">
        <f>AC105+AD105</f>
        <v>2140.3</v>
      </c>
      <c r="AF105" s="10">
        <v>1632.0</v>
      </c>
      <c r="AG105" s="10">
        <v>311.6</v>
      </c>
      <c r="AH105" s="10">
        <v>271.0</v>
      </c>
      <c r="AI105" s="8" t="s">
        <v>846</v>
      </c>
      <c r="AJ105" s="8" t="s">
        <v>847</v>
      </c>
      <c r="AK105" s="8" t="s">
        <v>848</v>
      </c>
      <c r="AL105" s="8" t="s">
        <v>849</v>
      </c>
    </row>
    <row r="106" spans="8:8" ht="18.75" customHeight="1">
      <c r="A106" s="2" t="s">
        <v>850</v>
      </c>
      <c r="B106" s="3" t="s">
        <v>837</v>
      </c>
      <c r="C106" s="3" t="s">
        <v>851</v>
      </c>
      <c r="D106" s="3" t="s">
        <v>852</v>
      </c>
      <c r="E106" s="3" t="s">
        <v>840</v>
      </c>
      <c r="F106" s="3" t="s">
        <v>853</v>
      </c>
      <c r="G106" s="3" t="s">
        <v>854</v>
      </c>
      <c r="H106" s="3" t="s">
        <v>243</v>
      </c>
      <c r="I106" s="4">
        <v>160.0</v>
      </c>
      <c r="J106" s="4">
        <v>3120.0</v>
      </c>
      <c r="K106" s="5">
        <v>3117.9</v>
      </c>
      <c r="L106" s="3" t="s">
        <v>855</v>
      </c>
      <c r="M106" s="3" t="s">
        <v>844</v>
      </c>
      <c r="N106" s="3" t="s">
        <v>418</v>
      </c>
      <c r="O106" s="4">
        <v>145.0</v>
      </c>
      <c r="P106" s="5">
        <v>2463.1</v>
      </c>
      <c r="Q106" s="5">
        <v>187.1</v>
      </c>
      <c r="R106" s="6">
        <v>31.2</v>
      </c>
      <c r="S106" s="5">
        <v>436.5</v>
      </c>
      <c r="T106" s="3" t="s">
        <v>856</v>
      </c>
      <c r="U106" s="6">
        <v>4.1</v>
      </c>
      <c r="V106" s="6">
        <v>1.6</v>
      </c>
      <c r="W106" s="6">
        <f>U106-V106</f>
        <v>2.4999999999999996</v>
      </c>
      <c r="X106" s="6">
        <v>18.0</v>
      </c>
      <c r="Y106" s="4">
        <v>5650.0</v>
      </c>
      <c r="Z106" s="5">
        <v>1356.0</v>
      </c>
      <c r="AA106" s="6">
        <v>24.0</v>
      </c>
      <c r="AB106" s="3" t="s">
        <v>50</v>
      </c>
      <c r="AC106" s="5">
        <v>2144.1</v>
      </c>
      <c r="AD106" s="5">
        <v>494.1</v>
      </c>
      <c r="AE106" s="5">
        <f>AC106+AD106</f>
        <v>2638.2</v>
      </c>
      <c r="AF106" s="5">
        <v>1823.1</v>
      </c>
      <c r="AG106" s="5">
        <v>482.8</v>
      </c>
      <c r="AH106" s="5">
        <v>404.3</v>
      </c>
      <c r="AI106" s="3" t="s">
        <v>743</v>
      </c>
      <c r="AJ106" s="3" t="s">
        <v>744</v>
      </c>
      <c r="AK106" s="3" t="s">
        <v>490</v>
      </c>
      <c r="AL106" s="3" t="s">
        <v>745</v>
      </c>
    </row>
    <row r="107" spans="8:8" ht="18.75" customHeight="1">
      <c r="A107" s="7" t="s">
        <v>857</v>
      </c>
      <c r="B107" s="8" t="s">
        <v>837</v>
      </c>
      <c r="C107" s="8" t="s">
        <v>858</v>
      </c>
      <c r="D107" s="8" t="s">
        <v>852</v>
      </c>
      <c r="E107" s="8" t="s">
        <v>859</v>
      </c>
      <c r="F107" s="8" t="s">
        <v>860</v>
      </c>
      <c r="G107" s="8" t="s">
        <v>861</v>
      </c>
      <c r="H107" s="8" t="s">
        <v>120</v>
      </c>
      <c r="I107" s="9">
        <v>175.0</v>
      </c>
      <c r="J107" s="9">
        <v>1480.0</v>
      </c>
      <c r="K107" s="10">
        <v>1468.2</v>
      </c>
      <c r="L107" s="8" t="s">
        <v>862</v>
      </c>
      <c r="M107" s="8" t="s">
        <v>47</v>
      </c>
      <c r="N107" s="8" t="s">
        <v>418</v>
      </c>
      <c r="O107" s="9">
        <v>87.0</v>
      </c>
      <c r="P107" s="10">
        <v>1145.2</v>
      </c>
      <c r="Q107" s="10">
        <v>117.5</v>
      </c>
      <c r="R107" s="11">
        <v>29.4</v>
      </c>
      <c r="S107" s="10">
        <v>176.1</v>
      </c>
      <c r="T107" s="8" t="s">
        <v>863</v>
      </c>
      <c r="U107" s="11">
        <v>11.4</v>
      </c>
      <c r="V107" s="11">
        <v>5.2</v>
      </c>
      <c r="W107" s="11">
        <f>U107-V107</f>
        <v>6.2</v>
      </c>
      <c r="X107" s="11">
        <v>12.0</v>
      </c>
      <c r="Y107" s="9">
        <v>4850.0</v>
      </c>
      <c r="Z107" s="10">
        <v>2735.4</v>
      </c>
      <c r="AA107" s="10">
        <v>56.4</v>
      </c>
      <c r="AB107" s="8" t="s">
        <v>50</v>
      </c>
      <c r="AC107" s="10">
        <v>1012.2</v>
      </c>
      <c r="AD107" s="10">
        <v>816.9</v>
      </c>
      <c r="AE107" s="10">
        <f>AC107+AD107</f>
        <v>1829.1</v>
      </c>
      <c r="AF107" s="10">
        <v>1023.8</v>
      </c>
      <c r="AG107" s="10">
        <v>597.4</v>
      </c>
      <c r="AH107" s="10">
        <v>286.7</v>
      </c>
      <c r="AI107" s="8" t="s">
        <v>743</v>
      </c>
      <c r="AJ107" s="8" t="s">
        <v>744</v>
      </c>
      <c r="AK107" s="8" t="s">
        <v>490</v>
      </c>
      <c r="AL107" s="8" t="s">
        <v>745</v>
      </c>
    </row>
    <row r="108" spans="8:8" ht="18.75" customHeight="1">
      <c r="A108" s="2" t="s">
        <v>864</v>
      </c>
      <c r="B108" s="3" t="s">
        <v>837</v>
      </c>
      <c r="C108" s="3" t="s">
        <v>865</v>
      </c>
      <c r="D108" s="3" t="s">
        <v>852</v>
      </c>
      <c r="E108" s="3" t="s">
        <v>859</v>
      </c>
      <c r="F108" s="3" t="s">
        <v>866</v>
      </c>
      <c r="G108" s="3" t="s">
        <v>867</v>
      </c>
      <c r="H108" s="3" t="s">
        <v>404</v>
      </c>
      <c r="I108" s="4">
        <v>195.0</v>
      </c>
      <c r="J108" s="4">
        <v>1525.0</v>
      </c>
      <c r="K108" s="5">
        <v>1520.9</v>
      </c>
      <c r="L108" s="3" t="s">
        <v>868</v>
      </c>
      <c r="M108" s="3" t="s">
        <v>47</v>
      </c>
      <c r="N108" s="3" t="s">
        <v>217</v>
      </c>
      <c r="O108" s="4">
        <v>90.0</v>
      </c>
      <c r="P108" s="5">
        <v>1155.9</v>
      </c>
      <c r="Q108" s="5">
        <v>136.9</v>
      </c>
      <c r="R108" s="6">
        <v>30.4</v>
      </c>
      <c r="S108" s="5">
        <v>197.7</v>
      </c>
      <c r="T108" s="3" t="s">
        <v>869</v>
      </c>
      <c r="U108" s="6">
        <v>8.6</v>
      </c>
      <c r="V108" s="6">
        <v>3.8</v>
      </c>
      <c r="W108" s="6">
        <f>U108-V108</f>
        <v>4.8</v>
      </c>
      <c r="X108" s="6">
        <v>16.5</v>
      </c>
      <c r="Y108" s="4">
        <v>12800.0</v>
      </c>
      <c r="Z108" s="5">
        <v>8000.0</v>
      </c>
      <c r="AA108" s="5">
        <v>62.5</v>
      </c>
      <c r="AB108" s="3" t="s">
        <v>50</v>
      </c>
      <c r="AC108" s="5">
        <v>1049.9</v>
      </c>
      <c r="AD108" s="5">
        <v>869.6</v>
      </c>
      <c r="AE108" s="5">
        <f>AC108+AD108</f>
        <v>1919.5</v>
      </c>
      <c r="AF108" s="5">
        <v>1046.9</v>
      </c>
      <c r="AG108" s="5">
        <v>648.1</v>
      </c>
      <c r="AH108" s="5">
        <v>312.3</v>
      </c>
      <c r="AI108" s="3" t="s">
        <v>743</v>
      </c>
      <c r="AJ108" s="3" t="s">
        <v>744</v>
      </c>
      <c r="AK108" s="3" t="s">
        <v>490</v>
      </c>
      <c r="AL108" s="3" t="s">
        <v>745</v>
      </c>
    </row>
    <row r="109" spans="8:8" ht="18.75" customHeight="1">
      <c r="A109" s="7" t="s">
        <v>870</v>
      </c>
      <c r="B109" s="8" t="s">
        <v>837</v>
      </c>
      <c r="C109" s="8" t="s">
        <v>871</v>
      </c>
      <c r="D109" s="8" t="s">
        <v>447</v>
      </c>
      <c r="E109" s="8" t="s">
        <v>859</v>
      </c>
      <c r="F109" s="8" t="s">
        <v>872</v>
      </c>
      <c r="G109" s="8" t="s">
        <v>873</v>
      </c>
      <c r="H109" s="8" t="s">
        <v>59</v>
      </c>
      <c r="I109" s="9">
        <v>125.0</v>
      </c>
      <c r="J109" s="9">
        <v>1345.0</v>
      </c>
      <c r="K109" s="10">
        <v>1348.6</v>
      </c>
      <c r="L109" s="8" t="s">
        <v>171</v>
      </c>
      <c r="M109" s="8" t="s">
        <v>807</v>
      </c>
      <c r="N109" s="8" t="s">
        <v>874</v>
      </c>
      <c r="O109" s="9">
        <v>81.0</v>
      </c>
      <c r="P109" s="10">
        <v>1078.9</v>
      </c>
      <c r="Q109" s="10">
        <v>107.9</v>
      </c>
      <c r="R109" s="11">
        <v>27.0</v>
      </c>
      <c r="S109" s="10">
        <v>134.8</v>
      </c>
      <c r="T109" s="8" t="s">
        <v>875</v>
      </c>
      <c r="U109" s="11">
        <v>10.2</v>
      </c>
      <c r="V109" s="11">
        <v>4.4</v>
      </c>
      <c r="W109" s="11">
        <f>U109-V109</f>
        <v>5.799999999999999</v>
      </c>
      <c r="X109" s="11">
        <v>5.0</v>
      </c>
      <c r="Y109" s="9">
        <v>4650.0</v>
      </c>
      <c r="Z109" s="10">
        <v>1767.0</v>
      </c>
      <c r="AA109" s="11">
        <v>38.0</v>
      </c>
      <c r="AB109" s="8" t="s">
        <v>50</v>
      </c>
      <c r="AC109" s="10">
        <v>929.3</v>
      </c>
      <c r="AD109" s="10">
        <v>318.4</v>
      </c>
      <c r="AE109" s="10">
        <f>AC109+AD109</f>
        <v>1247.6999999999998</v>
      </c>
      <c r="AF109" s="10">
        <v>829.2</v>
      </c>
      <c r="AG109" s="10">
        <v>316.6</v>
      </c>
      <c r="AH109" s="10">
        <v>158.1</v>
      </c>
      <c r="AI109" s="8" t="s">
        <v>61</v>
      </c>
      <c r="AJ109" s="8" t="s">
        <v>62</v>
      </c>
      <c r="AK109" s="8" t="s">
        <v>63</v>
      </c>
      <c r="AL109" s="8" t="s">
        <v>64</v>
      </c>
    </row>
    <row r="110" spans="8:8" ht="18.75" customHeight="1">
      <c r="A110" s="2" t="s">
        <v>876</v>
      </c>
      <c r="B110" s="3" t="s">
        <v>837</v>
      </c>
      <c r="C110" s="3" t="s">
        <v>877</v>
      </c>
      <c r="D110" s="3" t="s">
        <v>852</v>
      </c>
      <c r="E110" s="3" t="s">
        <v>859</v>
      </c>
      <c r="F110" s="3" t="s">
        <v>878</v>
      </c>
      <c r="G110" s="3" t="s">
        <v>879</v>
      </c>
      <c r="H110" s="3" t="s">
        <v>243</v>
      </c>
      <c r="I110" s="4">
        <v>190.0</v>
      </c>
      <c r="J110" s="4">
        <v>1765.0</v>
      </c>
      <c r="K110" s="5">
        <v>1756.8</v>
      </c>
      <c r="L110" s="3" t="s">
        <v>880</v>
      </c>
      <c r="M110" s="3" t="s">
        <v>47</v>
      </c>
      <c r="N110" s="3" t="s">
        <v>881</v>
      </c>
      <c r="O110" s="4">
        <v>103.0</v>
      </c>
      <c r="P110" s="5">
        <v>1317.6</v>
      </c>
      <c r="Q110" s="5">
        <v>210.8</v>
      </c>
      <c r="R110" s="6">
        <v>35.1</v>
      </c>
      <c r="S110" s="5">
        <v>193.3</v>
      </c>
      <c r="T110" s="3" t="s">
        <v>882</v>
      </c>
      <c r="U110" s="6">
        <v>4.8</v>
      </c>
      <c r="V110" s="6">
        <v>1.9</v>
      </c>
      <c r="W110" s="6">
        <f>U110-V110</f>
        <v>2.9</v>
      </c>
      <c r="X110" s="6">
        <v>10.0</v>
      </c>
      <c r="Y110" s="4">
        <v>2850.0</v>
      </c>
      <c r="Z110" s="5">
        <v>974.7</v>
      </c>
      <c r="AA110" s="6">
        <v>34.2</v>
      </c>
      <c r="AB110" s="3" t="s">
        <v>50</v>
      </c>
      <c r="AC110" s="5">
        <v>1215.7</v>
      </c>
      <c r="AD110" s="5">
        <v>318.4</v>
      </c>
      <c r="AE110" s="5">
        <f>AC110+AD110</f>
        <v>1534.1</v>
      </c>
      <c r="AF110" s="5">
        <v>991.5</v>
      </c>
      <c r="AG110" s="5">
        <v>429.1</v>
      </c>
      <c r="AH110" s="5">
        <v>199.0</v>
      </c>
      <c r="AI110" s="3" t="s">
        <v>83</v>
      </c>
      <c r="AJ110" s="3" t="s">
        <v>84</v>
      </c>
      <c r="AK110" s="3" t="s">
        <v>85</v>
      </c>
      <c r="AL110" s="3" t="s">
        <v>86</v>
      </c>
    </row>
    <row r="111" spans="8:8" ht="18.75" customHeight="1">
      <c r="A111" s="7" t="s">
        <v>883</v>
      </c>
      <c r="B111" s="8" t="s">
        <v>884</v>
      </c>
      <c r="C111" s="8" t="s">
        <v>885</v>
      </c>
      <c r="D111" s="8" t="s">
        <v>447</v>
      </c>
      <c r="E111" s="8" t="s">
        <v>884</v>
      </c>
      <c r="F111" s="8" t="s">
        <v>886</v>
      </c>
      <c r="G111" s="8" t="s">
        <v>887</v>
      </c>
      <c r="H111" s="8" t="s">
        <v>120</v>
      </c>
      <c r="I111" s="9">
        <v>135.0</v>
      </c>
      <c r="J111" s="9">
        <v>1425.0</v>
      </c>
      <c r="K111" s="10">
        <v>1407.9</v>
      </c>
      <c r="L111" s="8" t="s">
        <v>171</v>
      </c>
      <c r="M111" s="8" t="s">
        <v>442</v>
      </c>
      <c r="N111" s="8" t="s">
        <v>874</v>
      </c>
      <c r="O111" s="9">
        <v>84.0</v>
      </c>
      <c r="P111" s="10">
        <v>1196.7</v>
      </c>
      <c r="Q111" s="10">
        <v>98.6</v>
      </c>
      <c r="R111" s="11">
        <v>28.2</v>
      </c>
      <c r="S111" s="10">
        <v>84.4</v>
      </c>
      <c r="T111" s="8" t="s">
        <v>888</v>
      </c>
      <c r="U111" s="11">
        <v>7.8</v>
      </c>
      <c r="V111" s="11">
        <v>3.2</v>
      </c>
      <c r="W111" s="11">
        <f>U111-V111</f>
        <v>4.6</v>
      </c>
      <c r="X111" s="11">
        <v>4.0</v>
      </c>
      <c r="Y111" s="9">
        <v>1650.0</v>
      </c>
      <c r="Z111" s="10">
        <v>528.0</v>
      </c>
      <c r="AA111" s="11">
        <v>32.0</v>
      </c>
      <c r="AB111" s="8" t="s">
        <v>50</v>
      </c>
      <c r="AC111" s="10">
        <v>968.0</v>
      </c>
      <c r="AD111" s="10">
        <v>202.1</v>
      </c>
      <c r="AE111" s="10">
        <f>AC111+AD111</f>
        <v>1170.1</v>
      </c>
      <c r="AF111" s="10">
        <v>874.4</v>
      </c>
      <c r="AG111" s="10">
        <v>256.9</v>
      </c>
      <c r="AH111" s="10">
        <v>99.5</v>
      </c>
      <c r="AI111" s="8" t="s">
        <v>523</v>
      </c>
      <c r="AJ111" s="8" t="s">
        <v>524</v>
      </c>
      <c r="AK111" s="8" t="s">
        <v>125</v>
      </c>
      <c r="AL111" s="8" t="s">
        <v>525</v>
      </c>
    </row>
    <row r="112" spans="8:8" ht="18.75" customHeight="1">
      <c r="A112" s="2" t="s">
        <v>889</v>
      </c>
      <c r="B112" s="3" t="s">
        <v>884</v>
      </c>
      <c r="C112" s="3" t="s">
        <v>890</v>
      </c>
      <c r="D112" s="3" t="s">
        <v>447</v>
      </c>
      <c r="E112" s="3" t="s">
        <v>884</v>
      </c>
      <c r="F112" s="3" t="s">
        <v>891</v>
      </c>
      <c r="G112" s="3" t="s">
        <v>892</v>
      </c>
      <c r="H112" s="3" t="s">
        <v>59</v>
      </c>
      <c r="I112" s="4">
        <v>140.0</v>
      </c>
      <c r="J112" s="4">
        <v>1530.0</v>
      </c>
      <c r="K112" s="5">
        <v>1519.8</v>
      </c>
      <c r="L112" s="3" t="s">
        <v>862</v>
      </c>
      <c r="M112" s="3" t="s">
        <v>807</v>
      </c>
      <c r="N112" s="3" t="s">
        <v>217</v>
      </c>
      <c r="O112" s="4">
        <v>90.0</v>
      </c>
      <c r="P112" s="5">
        <v>1200.6</v>
      </c>
      <c r="Q112" s="5">
        <v>136.8</v>
      </c>
      <c r="R112" s="6">
        <v>30.4</v>
      </c>
      <c r="S112" s="5">
        <v>152.0</v>
      </c>
      <c r="T112" s="3" t="s">
        <v>893</v>
      </c>
      <c r="U112" s="6">
        <v>8.2</v>
      </c>
      <c r="V112" s="6">
        <v>3.4</v>
      </c>
      <c r="W112" s="6">
        <f>U112-V112</f>
        <v>4.799999999999999</v>
      </c>
      <c r="X112" s="6">
        <v>4.5</v>
      </c>
      <c r="Y112" s="4">
        <v>2180.0</v>
      </c>
      <c r="Z112" s="5">
        <v>839.3</v>
      </c>
      <c r="AA112" s="6">
        <v>38.5</v>
      </c>
      <c r="AB112" s="3" t="s">
        <v>50</v>
      </c>
      <c r="AC112" s="5">
        <v>1048.2</v>
      </c>
      <c r="AD112" s="5">
        <v>237.2</v>
      </c>
      <c r="AE112" s="5">
        <f>AC112+AD112</f>
        <v>1285.4</v>
      </c>
      <c r="AF112" s="5">
        <v>887.6</v>
      </c>
      <c r="AG112" s="5">
        <v>307.0</v>
      </c>
      <c r="AH112" s="5">
        <v>153.8</v>
      </c>
      <c r="AI112" s="3" t="s">
        <v>175</v>
      </c>
      <c r="AJ112" s="3" t="s">
        <v>176</v>
      </c>
      <c r="AK112" s="3" t="s">
        <v>155</v>
      </c>
      <c r="AL112" s="3" t="s">
        <v>177</v>
      </c>
    </row>
    <row r="113" spans="8:8" ht="18.75" customHeight="1">
      <c r="A113" s="7" t="s">
        <v>894</v>
      </c>
      <c r="B113" s="8" t="s">
        <v>884</v>
      </c>
      <c r="C113" s="8" t="s">
        <v>895</v>
      </c>
      <c r="D113" s="8" t="s">
        <v>41</v>
      </c>
      <c r="E113" s="8" t="s">
        <v>884</v>
      </c>
      <c r="F113" s="8" t="s">
        <v>896</v>
      </c>
      <c r="G113" s="8" t="s">
        <v>897</v>
      </c>
      <c r="H113" s="8" t="s">
        <v>404</v>
      </c>
      <c r="I113" s="9">
        <v>180.0</v>
      </c>
      <c r="J113" s="9">
        <v>1565.0</v>
      </c>
      <c r="K113" s="10">
        <v>1543.1</v>
      </c>
      <c r="L113" s="8" t="s">
        <v>898</v>
      </c>
      <c r="M113" s="8" t="s">
        <v>47</v>
      </c>
      <c r="N113" s="8" t="s">
        <v>291</v>
      </c>
      <c r="O113" s="9">
        <v>91.0</v>
      </c>
      <c r="P113" s="10">
        <v>1141.9</v>
      </c>
      <c r="Q113" s="10">
        <v>185.2</v>
      </c>
      <c r="R113" s="11">
        <v>30.9</v>
      </c>
      <c r="S113" s="10">
        <v>185.1</v>
      </c>
      <c r="T113" s="8" t="s">
        <v>899</v>
      </c>
      <c r="U113" s="11">
        <v>6.4</v>
      </c>
      <c r="V113" s="11">
        <v>2.5</v>
      </c>
      <c r="W113" s="11">
        <f>U113-V113</f>
        <v>3.9000000000000004</v>
      </c>
      <c r="X113" s="11">
        <v>14.0</v>
      </c>
      <c r="Y113" s="9">
        <v>2950.0</v>
      </c>
      <c r="Z113" s="10">
        <v>1663.8</v>
      </c>
      <c r="AA113" s="10">
        <v>56.4</v>
      </c>
      <c r="AB113" s="8" t="s">
        <v>50</v>
      </c>
      <c r="AC113" s="10">
        <v>1068.2</v>
      </c>
      <c r="AD113" s="10">
        <v>599.5</v>
      </c>
      <c r="AE113" s="10">
        <f>AC113+AD113</f>
        <v>1667.7</v>
      </c>
      <c r="AF113" s="10">
        <v>956.3</v>
      </c>
      <c r="AG113" s="10">
        <v>542.9</v>
      </c>
      <c r="AH113" s="10">
        <v>249.5</v>
      </c>
      <c r="AI113" s="8" t="s">
        <v>83</v>
      </c>
      <c r="AJ113" s="8" t="s">
        <v>84</v>
      </c>
      <c r="AK113" s="8" t="s">
        <v>85</v>
      </c>
      <c r="AL113" s="8" t="s">
        <v>86</v>
      </c>
    </row>
    <row r="114" spans="8:8" ht="18.75" customHeight="1">
      <c r="A114" s="2" t="s">
        <v>900</v>
      </c>
      <c r="B114" s="3" t="s">
        <v>884</v>
      </c>
      <c r="C114" s="3" t="s">
        <v>901</v>
      </c>
      <c r="D114" s="3" t="s">
        <v>41</v>
      </c>
      <c r="E114" s="3" t="s">
        <v>884</v>
      </c>
      <c r="F114" s="3" t="s">
        <v>902</v>
      </c>
      <c r="G114" s="3" t="s">
        <v>903</v>
      </c>
      <c r="H114" s="3" t="s">
        <v>404</v>
      </c>
      <c r="I114" s="4">
        <v>190.0</v>
      </c>
      <c r="J114" s="4">
        <v>1485.0</v>
      </c>
      <c r="K114" s="5">
        <v>1472.1</v>
      </c>
      <c r="L114" s="3" t="s">
        <v>904</v>
      </c>
      <c r="M114" s="3" t="s">
        <v>47</v>
      </c>
      <c r="N114" s="3" t="s">
        <v>164</v>
      </c>
      <c r="O114" s="4">
        <v>88.0</v>
      </c>
      <c r="P114" s="5">
        <v>1074.6</v>
      </c>
      <c r="Q114" s="5">
        <v>220.8</v>
      </c>
      <c r="R114" s="6">
        <v>29.4</v>
      </c>
      <c r="S114" s="5">
        <v>147.3</v>
      </c>
      <c r="T114" s="3" t="s">
        <v>905</v>
      </c>
      <c r="U114" s="6">
        <v>5.8</v>
      </c>
      <c r="V114" s="6">
        <v>2.2</v>
      </c>
      <c r="W114" s="6">
        <f>U114-V114</f>
        <v>3.5999999999999996</v>
      </c>
      <c r="X114" s="6">
        <v>14.5</v>
      </c>
      <c r="Y114" s="4">
        <v>4850.0</v>
      </c>
      <c r="Z114" s="5">
        <v>2328.0</v>
      </c>
      <c r="AA114" s="6">
        <v>48.0</v>
      </c>
      <c r="AB114" s="3" t="s">
        <v>50</v>
      </c>
      <c r="AC114" s="5">
        <v>1021.5</v>
      </c>
      <c r="AD114" s="5">
        <v>573.1</v>
      </c>
      <c r="AE114" s="5">
        <f>AC114+AD114</f>
        <v>1594.6</v>
      </c>
      <c r="AF114" s="5">
        <v>902.6</v>
      </c>
      <c r="AG114" s="5">
        <v>559.8</v>
      </c>
      <c r="AH114" s="5">
        <v>217.7</v>
      </c>
      <c r="AI114" s="3" t="s">
        <v>83</v>
      </c>
      <c r="AJ114" s="3" t="s">
        <v>84</v>
      </c>
      <c r="AK114" s="3" t="s">
        <v>85</v>
      </c>
      <c r="AL114" s="3" t="s">
        <v>86</v>
      </c>
    </row>
    <row r="115" spans="8:8" ht="18.75" customHeight="1">
      <c r="A115" s="7" t="s">
        <v>906</v>
      </c>
      <c r="B115" s="8" t="s">
        <v>884</v>
      </c>
      <c r="C115" s="8" t="s">
        <v>907</v>
      </c>
      <c r="D115" s="8" t="s">
        <v>447</v>
      </c>
      <c r="E115" s="8" t="s">
        <v>884</v>
      </c>
      <c r="F115" s="8" t="s">
        <v>908</v>
      </c>
      <c r="G115" s="8" t="s">
        <v>909</v>
      </c>
      <c r="H115" s="8" t="s">
        <v>59</v>
      </c>
      <c r="I115" s="9">
        <v>145.0</v>
      </c>
      <c r="J115" s="9">
        <v>1510.0</v>
      </c>
      <c r="K115" s="10">
        <v>1505.0</v>
      </c>
      <c r="L115" s="8" t="s">
        <v>132</v>
      </c>
      <c r="M115" s="8" t="s">
        <v>47</v>
      </c>
      <c r="N115" s="8" t="s">
        <v>291</v>
      </c>
      <c r="O115" s="9">
        <v>89.0</v>
      </c>
      <c r="P115" s="10">
        <v>1158.9</v>
      </c>
      <c r="Q115" s="10">
        <v>165.6</v>
      </c>
      <c r="R115" s="11">
        <v>30.1</v>
      </c>
      <c r="S115" s="10">
        <v>150.4</v>
      </c>
      <c r="T115" s="8" t="s">
        <v>910</v>
      </c>
      <c r="U115" s="11">
        <v>7.2</v>
      </c>
      <c r="V115" s="11">
        <v>2.9</v>
      </c>
      <c r="W115" s="11">
        <f>U115-V115</f>
        <v>4.300000000000001</v>
      </c>
      <c r="X115" s="11">
        <v>4.0</v>
      </c>
      <c r="Y115" s="9">
        <v>2120.0</v>
      </c>
      <c r="Z115" s="10">
        <v>519.4</v>
      </c>
      <c r="AA115" s="11">
        <v>24.5</v>
      </c>
      <c r="AB115" s="8" t="s">
        <v>50</v>
      </c>
      <c r="AC115" s="10">
        <v>1040.2</v>
      </c>
      <c r="AD115" s="10">
        <v>188.8</v>
      </c>
      <c r="AE115" s="10">
        <f>AC115+AD115</f>
        <v>1229.0</v>
      </c>
      <c r="AF115" s="10">
        <v>844.7</v>
      </c>
      <c r="AG115" s="10">
        <v>306.4</v>
      </c>
      <c r="AH115" s="10">
        <v>143.1</v>
      </c>
      <c r="AI115" s="8" t="s">
        <v>61</v>
      </c>
      <c r="AJ115" s="8" t="s">
        <v>62</v>
      </c>
      <c r="AK115" s="8" t="s">
        <v>63</v>
      </c>
      <c r="AL115" s="8" t="s">
        <v>64</v>
      </c>
    </row>
    <row r="116" spans="8:8" ht="18.75" customHeight="1">
      <c r="A116" s="2" t="s">
        <v>911</v>
      </c>
      <c r="B116" s="3" t="s">
        <v>884</v>
      </c>
      <c r="C116" s="3" t="s">
        <v>912</v>
      </c>
      <c r="D116" s="3" t="s">
        <v>447</v>
      </c>
      <c r="E116" s="3" t="s">
        <v>884</v>
      </c>
      <c r="F116" s="3" t="s">
        <v>913</v>
      </c>
      <c r="G116" s="3" t="s">
        <v>914</v>
      </c>
      <c r="H116" s="3" t="s">
        <v>59</v>
      </c>
      <c r="I116" s="4">
        <v>150.0</v>
      </c>
      <c r="J116" s="4">
        <v>1560.0</v>
      </c>
      <c r="K116" s="5">
        <v>1563.1</v>
      </c>
      <c r="L116" s="3" t="s">
        <v>162</v>
      </c>
      <c r="M116" s="3" t="s">
        <v>47</v>
      </c>
      <c r="N116" s="3" t="s">
        <v>217</v>
      </c>
      <c r="O116" s="4">
        <v>92.0</v>
      </c>
      <c r="P116" s="5">
        <v>1266.1</v>
      </c>
      <c r="Q116" s="5">
        <v>140.7</v>
      </c>
      <c r="R116" s="6">
        <v>15.6</v>
      </c>
      <c r="S116" s="5">
        <v>140.7</v>
      </c>
      <c r="T116" s="3" t="s">
        <v>915</v>
      </c>
      <c r="U116" s="6">
        <v>6.8</v>
      </c>
      <c r="V116" s="6">
        <v>2.5</v>
      </c>
      <c r="W116" s="6">
        <f>U116-V116</f>
        <v>4.3</v>
      </c>
      <c r="X116" s="6">
        <v>4.5</v>
      </c>
      <c r="Y116" s="4">
        <v>1680.0</v>
      </c>
      <c r="Z116" s="5">
        <v>369.6</v>
      </c>
      <c r="AA116" s="6">
        <v>22.0</v>
      </c>
      <c r="AB116" s="3" t="s">
        <v>50</v>
      </c>
      <c r="AC116" s="5">
        <v>1076.6</v>
      </c>
      <c r="AD116" s="5">
        <v>212.5</v>
      </c>
      <c r="AE116" s="5">
        <f>AC116+AD116</f>
        <v>1289.1</v>
      </c>
      <c r="AF116" s="5">
        <v>924.7</v>
      </c>
      <c r="AG116" s="5">
        <v>290.9</v>
      </c>
      <c r="AH116" s="5">
        <v>141.0</v>
      </c>
      <c r="AI116" s="3" t="s">
        <v>269</v>
      </c>
      <c r="AJ116" s="3" t="s">
        <v>270</v>
      </c>
      <c r="AK116" s="3" t="s">
        <v>63</v>
      </c>
      <c r="AL116" s="3" t="s">
        <v>271</v>
      </c>
    </row>
    <row r="117" spans="8:8" ht="18.75" customHeight="1">
      <c r="A117" s="7" t="s">
        <v>916</v>
      </c>
      <c r="B117" s="8" t="s">
        <v>884</v>
      </c>
      <c r="C117" s="8" t="s">
        <v>917</v>
      </c>
      <c r="D117" s="8" t="s">
        <v>447</v>
      </c>
      <c r="E117" s="8" t="s">
        <v>884</v>
      </c>
      <c r="F117" s="8" t="s">
        <v>918</v>
      </c>
      <c r="G117" s="8" t="s">
        <v>919</v>
      </c>
      <c r="H117" s="8" t="s">
        <v>120</v>
      </c>
      <c r="I117" s="9">
        <v>145.0</v>
      </c>
      <c r="J117" s="9">
        <v>1620.0</v>
      </c>
      <c r="K117" s="10">
        <v>1611.4</v>
      </c>
      <c r="L117" s="8" t="s">
        <v>162</v>
      </c>
      <c r="M117" s="8" t="s">
        <v>47</v>
      </c>
      <c r="N117" s="8" t="s">
        <v>217</v>
      </c>
      <c r="O117" s="9">
        <v>95.0</v>
      </c>
      <c r="P117" s="10">
        <v>1337.5</v>
      </c>
      <c r="Q117" s="10">
        <v>145.0</v>
      </c>
      <c r="R117" s="11">
        <v>16.1</v>
      </c>
      <c r="S117" s="10">
        <v>112.8</v>
      </c>
      <c r="T117" s="8" t="s">
        <v>920</v>
      </c>
      <c r="U117" s="11">
        <v>6.2</v>
      </c>
      <c r="V117" s="11">
        <v>2.1</v>
      </c>
      <c r="W117" s="11">
        <f>U117-V117</f>
        <v>4.1</v>
      </c>
      <c r="X117" s="11">
        <v>4.5</v>
      </c>
      <c r="Y117" s="9">
        <v>950.0</v>
      </c>
      <c r="Z117" s="10">
        <v>185.2</v>
      </c>
      <c r="AA117" s="11">
        <v>19.5</v>
      </c>
      <c r="AB117" s="8" t="s">
        <v>50</v>
      </c>
      <c r="AC117" s="10">
        <v>1109.3</v>
      </c>
      <c r="AD117" s="10">
        <v>202.6</v>
      </c>
      <c r="AE117" s="10">
        <f>AC117+AD117</f>
        <v>1311.8999999999999</v>
      </c>
      <c r="AF117" s="10">
        <v>970.3</v>
      </c>
      <c r="AG117" s="10">
        <v>287.3</v>
      </c>
      <c r="AH117" s="10">
        <v>119.5</v>
      </c>
      <c r="AI117" s="8" t="s">
        <v>743</v>
      </c>
      <c r="AJ117" s="8" t="s">
        <v>744</v>
      </c>
      <c r="AK117" s="8" t="s">
        <v>490</v>
      </c>
      <c r="AL117" s="8" t="s">
        <v>745</v>
      </c>
    </row>
    <row r="118" spans="8:8" ht="18.75" customHeight="1">
      <c r="A118" s="2" t="s">
        <v>921</v>
      </c>
      <c r="B118" s="3" t="s">
        <v>884</v>
      </c>
      <c r="C118" s="3" t="s">
        <v>922</v>
      </c>
      <c r="D118" s="3" t="s">
        <v>447</v>
      </c>
      <c r="E118" s="3" t="s">
        <v>884</v>
      </c>
      <c r="F118" s="3" t="s">
        <v>923</v>
      </c>
      <c r="G118" s="3" t="s">
        <v>924</v>
      </c>
      <c r="H118" s="3" t="s">
        <v>131</v>
      </c>
      <c r="I118" s="4">
        <v>165.0</v>
      </c>
      <c r="J118" s="4">
        <v>1335.0</v>
      </c>
      <c r="K118" s="5">
        <v>1335.0</v>
      </c>
      <c r="L118" s="3" t="s">
        <v>171</v>
      </c>
      <c r="M118" s="3" t="s">
        <v>172</v>
      </c>
      <c r="N118" s="3" t="s">
        <v>418</v>
      </c>
      <c r="O118" s="4">
        <v>80.0</v>
      </c>
      <c r="P118" s="5">
        <v>1134.8</v>
      </c>
      <c r="Q118" s="5">
        <v>93.5</v>
      </c>
      <c r="R118" s="6">
        <v>26.7</v>
      </c>
      <c r="S118" s="5">
        <v>80.0</v>
      </c>
      <c r="T118" s="3" t="s">
        <v>925</v>
      </c>
      <c r="U118" s="6">
        <v>7.5</v>
      </c>
      <c r="V118" s="6">
        <v>3.1</v>
      </c>
      <c r="W118" s="6">
        <f>U118-V118</f>
        <v>4.4</v>
      </c>
      <c r="X118" s="6">
        <v>4.2</v>
      </c>
      <c r="Y118" s="4">
        <v>1850.0</v>
      </c>
      <c r="Z118" s="5">
        <v>666.0</v>
      </c>
      <c r="AA118" s="6">
        <v>36.0</v>
      </c>
      <c r="AB118" s="3" t="s">
        <v>50</v>
      </c>
      <c r="AC118" s="5">
        <v>917.9</v>
      </c>
      <c r="AD118" s="5">
        <v>203.0</v>
      </c>
      <c r="AE118" s="5">
        <f>AC118+AD118</f>
        <v>1120.9</v>
      </c>
      <c r="AF118" s="5">
        <v>832.6</v>
      </c>
      <c r="AG118" s="5">
        <v>265.9</v>
      </c>
      <c r="AH118" s="5">
        <v>96.6</v>
      </c>
      <c r="AI118" s="3" t="s">
        <v>73</v>
      </c>
      <c r="AJ118" s="3" t="s">
        <v>74</v>
      </c>
      <c r="AK118" s="3" t="s">
        <v>75</v>
      </c>
      <c r="AL118" s="3" t="s">
        <v>76</v>
      </c>
    </row>
    <row r="119" spans="8:8" ht="18.75" customHeight="1">
      <c r="A119" s="7" t="s">
        <v>926</v>
      </c>
      <c r="B119" s="8" t="s">
        <v>884</v>
      </c>
      <c r="C119" s="8" t="s">
        <v>927</v>
      </c>
      <c r="D119" s="8" t="s">
        <v>447</v>
      </c>
      <c r="E119" s="8" t="s">
        <v>884</v>
      </c>
      <c r="F119" s="8" t="s">
        <v>928</v>
      </c>
      <c r="G119" s="8" t="s">
        <v>929</v>
      </c>
      <c r="H119" s="8" t="s">
        <v>189</v>
      </c>
      <c r="I119" s="9">
        <v>160.0</v>
      </c>
      <c r="J119" s="9">
        <v>1410.0</v>
      </c>
      <c r="K119" s="10">
        <v>1399.7</v>
      </c>
      <c r="L119" s="8" t="s">
        <v>171</v>
      </c>
      <c r="M119" s="8" t="s">
        <v>442</v>
      </c>
      <c r="N119" s="8" t="s">
        <v>398</v>
      </c>
      <c r="O119" s="9">
        <v>84.0</v>
      </c>
      <c r="P119" s="10">
        <v>1217.7</v>
      </c>
      <c r="Q119" s="10">
        <v>84.0</v>
      </c>
      <c r="R119" s="11">
        <v>28.0</v>
      </c>
      <c r="S119" s="10">
        <v>70.0</v>
      </c>
      <c r="T119" s="8" t="s">
        <v>930</v>
      </c>
      <c r="U119" s="11">
        <v>7.4</v>
      </c>
      <c r="V119" s="11">
        <v>2.8</v>
      </c>
      <c r="W119" s="11">
        <f>U119-V119</f>
        <v>4.6000000000000005</v>
      </c>
      <c r="X119" s="11">
        <v>4.5</v>
      </c>
      <c r="Y119" s="9">
        <v>2980.0</v>
      </c>
      <c r="Z119" s="10">
        <v>1168.2</v>
      </c>
      <c r="AA119" s="11">
        <v>39.2</v>
      </c>
      <c r="AB119" s="8" t="s">
        <v>50</v>
      </c>
      <c r="AC119" s="10">
        <v>961.0</v>
      </c>
      <c r="AD119" s="10">
        <v>227.2</v>
      </c>
      <c r="AE119" s="10">
        <f>AC119+AD119</f>
        <v>1188.2</v>
      </c>
      <c r="AF119" s="10">
        <v>896.2</v>
      </c>
      <c r="AG119" s="10">
        <v>269.6</v>
      </c>
      <c r="AH119" s="10">
        <v>94.4</v>
      </c>
      <c r="AI119" s="8" t="s">
        <v>175</v>
      </c>
      <c r="AJ119" s="8" t="s">
        <v>176</v>
      </c>
      <c r="AK119" s="8" t="s">
        <v>155</v>
      </c>
      <c r="AL119" s="8" t="s">
        <v>177</v>
      </c>
    </row>
    <row r="120" spans="8:8" ht="18.75" customHeight="1">
      <c r="A120" s="2" t="s">
        <v>931</v>
      </c>
      <c r="B120" s="3" t="s">
        <v>884</v>
      </c>
      <c r="C120" s="3" t="s">
        <v>932</v>
      </c>
      <c r="D120" s="3" t="s">
        <v>447</v>
      </c>
      <c r="E120" s="3" t="s">
        <v>884</v>
      </c>
      <c r="F120" s="3" t="s">
        <v>933</v>
      </c>
      <c r="G120" s="3" t="s">
        <v>934</v>
      </c>
      <c r="H120" s="3" t="s">
        <v>59</v>
      </c>
      <c r="I120" s="4">
        <v>140.0</v>
      </c>
      <c r="J120" s="4">
        <v>1385.0</v>
      </c>
      <c r="K120" s="5">
        <v>1364.7</v>
      </c>
      <c r="L120" s="3" t="s">
        <v>132</v>
      </c>
      <c r="M120" s="3" t="s">
        <v>807</v>
      </c>
      <c r="N120" s="3" t="s">
        <v>217</v>
      </c>
      <c r="O120" s="4">
        <v>82.0</v>
      </c>
      <c r="P120" s="5">
        <v>1105.4</v>
      </c>
      <c r="Q120" s="5">
        <v>122.8</v>
      </c>
      <c r="R120" s="6">
        <v>27.3</v>
      </c>
      <c r="S120" s="5">
        <v>109.2</v>
      </c>
      <c r="T120" s="3" t="s">
        <v>935</v>
      </c>
      <c r="U120" s="6">
        <v>8.1</v>
      </c>
      <c r="V120" s="6">
        <v>3.3</v>
      </c>
      <c r="W120" s="6">
        <f>U120-V120</f>
        <v>4.8</v>
      </c>
      <c r="X120" s="6">
        <v>4.5</v>
      </c>
      <c r="Y120" s="4">
        <v>1740.0</v>
      </c>
      <c r="Z120" s="5">
        <v>713.4</v>
      </c>
      <c r="AA120" s="6">
        <v>41.0</v>
      </c>
      <c r="AB120" s="3" t="s">
        <v>50</v>
      </c>
      <c r="AC120" s="5">
        <v>940.7</v>
      </c>
      <c r="AD120" s="5">
        <v>237.2</v>
      </c>
      <c r="AE120" s="5">
        <f>AC120+AD120</f>
        <v>1177.9</v>
      </c>
      <c r="AF120" s="5">
        <v>822.9</v>
      </c>
      <c r="AG120" s="5">
        <v>294.2</v>
      </c>
      <c r="AH120" s="5">
        <v>123.8</v>
      </c>
      <c r="AI120" s="3" t="s">
        <v>61</v>
      </c>
      <c r="AJ120" s="3" t="s">
        <v>62</v>
      </c>
      <c r="AK120" s="3" t="s">
        <v>63</v>
      </c>
      <c r="AL120" s="3" t="s">
        <v>64</v>
      </c>
    </row>
    <row r="121" spans="8:8" ht="18.75" customHeight="1">
      <c r="A121" s="7" t="s">
        <v>936</v>
      </c>
      <c r="B121" s="8" t="s">
        <v>937</v>
      </c>
      <c r="C121" s="8" t="s">
        <v>938</v>
      </c>
      <c r="D121" s="8" t="s">
        <v>939</v>
      </c>
      <c r="E121" s="8" t="s">
        <v>937</v>
      </c>
      <c r="F121" s="8" t="s">
        <v>940</v>
      </c>
      <c r="G121" s="8" t="s">
        <v>941</v>
      </c>
      <c r="H121" s="8" t="s">
        <v>404</v>
      </c>
      <c r="I121" s="9">
        <v>145.0</v>
      </c>
      <c r="J121" s="9">
        <v>1140.0</v>
      </c>
      <c r="K121" s="10">
        <v>1129.4</v>
      </c>
      <c r="L121" s="8" t="s">
        <v>942</v>
      </c>
      <c r="M121" s="8" t="s">
        <v>692</v>
      </c>
      <c r="N121" s="8" t="s">
        <v>597</v>
      </c>
      <c r="O121" s="9">
        <v>69.0</v>
      </c>
      <c r="P121" s="10">
        <v>813.2</v>
      </c>
      <c r="Q121" s="10">
        <v>56.5</v>
      </c>
      <c r="R121" s="10">
        <v>158.1</v>
      </c>
      <c r="S121" s="10">
        <v>101.6</v>
      </c>
      <c r="T121" s="8" t="s">
        <v>943</v>
      </c>
      <c r="U121" s="11">
        <v>11.5</v>
      </c>
      <c r="V121" s="11">
        <v>6.8</v>
      </c>
      <c r="W121" s="11">
        <f>U121-V121</f>
        <v>4.7</v>
      </c>
      <c r="X121" s="11">
        <v>12.0</v>
      </c>
      <c r="Y121" s="9">
        <v>1950.0</v>
      </c>
      <c r="Z121" s="10">
        <v>663.0</v>
      </c>
      <c r="AA121" s="11">
        <v>34.0</v>
      </c>
      <c r="AB121" s="8" t="s">
        <v>50</v>
      </c>
      <c r="AC121" s="10">
        <v>785.0</v>
      </c>
      <c r="AD121" s="10">
        <v>619.3</v>
      </c>
      <c r="AE121" s="10">
        <f>AC121+AD121</f>
        <v>1404.3</v>
      </c>
      <c r="AF121" s="10">
        <v>738.8</v>
      </c>
      <c r="AG121" s="10">
        <v>535.7</v>
      </c>
      <c r="AH121" s="10">
        <v>195.0</v>
      </c>
      <c r="AI121" s="8" t="s">
        <v>743</v>
      </c>
      <c r="AJ121" s="8" t="s">
        <v>744</v>
      </c>
      <c r="AK121" s="8" t="s">
        <v>490</v>
      </c>
      <c r="AL121" s="8" t="s">
        <v>745</v>
      </c>
    </row>
    <row r="122" spans="8:8" ht="18.75" customHeight="1">
      <c r="A122" s="2" t="s">
        <v>944</v>
      </c>
      <c r="B122" s="3" t="s">
        <v>937</v>
      </c>
      <c r="C122" s="3" t="s">
        <v>945</v>
      </c>
      <c r="D122" s="3" t="s">
        <v>939</v>
      </c>
      <c r="E122" s="3" t="s">
        <v>937</v>
      </c>
      <c r="F122" s="3" t="s">
        <v>946</v>
      </c>
      <c r="G122" s="3" t="s">
        <v>947</v>
      </c>
      <c r="H122" s="3" t="s">
        <v>740</v>
      </c>
      <c r="I122" s="4">
        <v>140.0</v>
      </c>
      <c r="J122" s="4">
        <v>1280.0</v>
      </c>
      <c r="K122" s="5">
        <v>1274.9</v>
      </c>
      <c r="L122" s="3" t="s">
        <v>948</v>
      </c>
      <c r="M122" s="3" t="s">
        <v>638</v>
      </c>
      <c r="N122" s="3" t="s">
        <v>715</v>
      </c>
      <c r="O122" s="4">
        <v>77.0</v>
      </c>
      <c r="P122" s="5">
        <v>739.4</v>
      </c>
      <c r="Q122" s="5">
        <v>76.5</v>
      </c>
      <c r="R122" s="5">
        <v>280.5</v>
      </c>
      <c r="S122" s="5">
        <v>178.5</v>
      </c>
      <c r="T122" s="3" t="s">
        <v>949</v>
      </c>
      <c r="U122" s="6">
        <v>9.2</v>
      </c>
      <c r="V122" s="6">
        <v>5.1</v>
      </c>
      <c r="W122" s="6">
        <f>U122-V122</f>
        <v>4.1</v>
      </c>
      <c r="X122" s="6">
        <v>3.5</v>
      </c>
      <c r="Y122" s="4">
        <v>980.0</v>
      </c>
      <c r="Z122" s="5">
        <v>220.5</v>
      </c>
      <c r="AA122" s="6">
        <v>22.5</v>
      </c>
      <c r="AB122" s="3" t="s">
        <v>50</v>
      </c>
      <c r="AC122" s="5">
        <v>895.5</v>
      </c>
      <c r="AD122" s="5">
        <v>157.6</v>
      </c>
      <c r="AE122" s="5">
        <f>AC122+AD122</f>
        <v>1053.1</v>
      </c>
      <c r="AF122" s="5">
        <v>550.1</v>
      </c>
      <c r="AG122" s="5">
        <v>409.6</v>
      </c>
      <c r="AH122" s="5">
        <v>156.4</v>
      </c>
      <c r="AI122" s="3" t="s">
        <v>950</v>
      </c>
      <c r="AJ122" s="3" t="s">
        <v>951</v>
      </c>
      <c r="AK122" s="3" t="s">
        <v>848</v>
      </c>
      <c r="AL122" s="3" t="s">
        <v>952</v>
      </c>
    </row>
    <row r="123" spans="8:8" ht="18.75" customHeight="1">
      <c r="A123" s="7" t="s">
        <v>953</v>
      </c>
      <c r="B123" s="8" t="s">
        <v>937</v>
      </c>
      <c r="C123" s="8" t="s">
        <v>954</v>
      </c>
      <c r="D123" s="8" t="s">
        <v>939</v>
      </c>
      <c r="E123" s="8" t="s">
        <v>937</v>
      </c>
      <c r="F123" s="8" t="s">
        <v>955</v>
      </c>
      <c r="G123" s="8" t="s">
        <v>956</v>
      </c>
      <c r="H123" s="8" t="s">
        <v>740</v>
      </c>
      <c r="I123" s="9">
        <v>175.0</v>
      </c>
      <c r="J123" s="9">
        <v>745.0</v>
      </c>
      <c r="K123" s="10">
        <v>736.6</v>
      </c>
      <c r="L123" s="8" t="s">
        <v>957</v>
      </c>
      <c r="M123" s="8" t="s">
        <v>958</v>
      </c>
      <c r="N123" s="8" t="s">
        <v>959</v>
      </c>
      <c r="O123" s="9">
        <v>44.0</v>
      </c>
      <c r="P123" s="10">
        <v>206.2</v>
      </c>
      <c r="Q123" s="10">
        <v>66.3</v>
      </c>
      <c r="R123" s="10">
        <v>235.7</v>
      </c>
      <c r="S123" s="10">
        <v>228.4</v>
      </c>
      <c r="T123" s="8" t="s">
        <v>960</v>
      </c>
      <c r="U123" s="11">
        <v>6.4</v>
      </c>
      <c r="V123" s="11">
        <v>3.2</v>
      </c>
      <c r="W123" s="11">
        <f>U123-V123</f>
        <v>3.2</v>
      </c>
      <c r="X123" s="11">
        <v>11.0</v>
      </c>
      <c r="Y123" s="9">
        <v>2150.0</v>
      </c>
      <c r="Z123" s="10">
        <v>559.0</v>
      </c>
      <c r="AA123" s="11">
        <v>26.0</v>
      </c>
      <c r="AB123" s="8" t="s">
        <v>50</v>
      </c>
      <c r="AC123" s="10">
        <v>526.6</v>
      </c>
      <c r="AD123" s="10">
        <v>386.5</v>
      </c>
      <c r="AE123" s="10">
        <f>AC123+AD123</f>
        <v>913.1</v>
      </c>
      <c r="AF123" s="10">
        <v>256.1</v>
      </c>
      <c r="AG123" s="10">
        <v>454.7</v>
      </c>
      <c r="AH123" s="10">
        <v>237.2</v>
      </c>
      <c r="AI123" s="8" t="s">
        <v>950</v>
      </c>
      <c r="AJ123" s="8" t="s">
        <v>951</v>
      </c>
      <c r="AK123" s="8" t="s">
        <v>848</v>
      </c>
      <c r="AL123" s="8" t="s">
        <v>952</v>
      </c>
    </row>
    <row r="124" spans="8:8" ht="18.75" customHeight="1">
      <c r="A124" s="2" t="s">
        <v>961</v>
      </c>
      <c r="B124" s="3" t="s">
        <v>962</v>
      </c>
      <c r="C124" s="3" t="s">
        <v>963</v>
      </c>
      <c r="D124" s="3" t="s">
        <v>939</v>
      </c>
      <c r="E124" s="3" t="s">
        <v>962</v>
      </c>
      <c r="F124" s="3" t="s">
        <v>964</v>
      </c>
      <c r="G124" s="3" t="s">
        <v>965</v>
      </c>
      <c r="H124" s="3" t="s">
        <v>805</v>
      </c>
      <c r="I124" s="4">
        <v>60.0</v>
      </c>
      <c r="J124" s="4">
        <v>115.0</v>
      </c>
      <c r="K124" s="5">
        <v>114.3</v>
      </c>
      <c r="L124" s="3" t="s">
        <v>966</v>
      </c>
      <c r="M124" s="3" t="s">
        <v>967</v>
      </c>
      <c r="N124" s="3" t="s">
        <v>968</v>
      </c>
      <c r="O124" s="4">
        <v>14.0</v>
      </c>
      <c r="P124" s="6">
        <v>40.0</v>
      </c>
      <c r="Q124" s="6">
        <v>11.4</v>
      </c>
      <c r="R124" s="6">
        <v>40.0</v>
      </c>
      <c r="S124" s="6">
        <v>22.9</v>
      </c>
      <c r="T124" s="3" t="s">
        <v>969</v>
      </c>
      <c r="U124" s="6">
        <v>8.5</v>
      </c>
      <c r="V124" s="6">
        <v>5.8</v>
      </c>
      <c r="W124" s="6">
        <f>U124-V124</f>
        <v>2.7</v>
      </c>
      <c r="X124" s="6">
        <v>6.0</v>
      </c>
      <c r="Y124" s="4">
        <v>180.0</v>
      </c>
      <c r="Z124" s="6">
        <v>32.4</v>
      </c>
      <c r="AA124" s="6">
        <v>18.0</v>
      </c>
      <c r="AB124" s="3" t="s">
        <v>50</v>
      </c>
      <c r="AC124" s="5">
        <v>81.7</v>
      </c>
      <c r="AD124" s="5">
        <v>177.8</v>
      </c>
      <c r="AE124" s="5">
        <f>AC124+AD124</f>
        <v>259.5</v>
      </c>
      <c r="AF124" s="5">
        <v>80.5</v>
      </c>
      <c r="AG124" s="5">
        <v>139.4</v>
      </c>
      <c r="AH124" s="5">
        <v>51.6</v>
      </c>
      <c r="AI124" s="3" t="s">
        <v>970</v>
      </c>
      <c r="AJ124" s="3" t="s">
        <v>971</v>
      </c>
      <c r="AK124" s="3" t="s">
        <v>848</v>
      </c>
      <c r="AL124" s="3" t="s">
        <v>972</v>
      </c>
    </row>
    <row r="125" spans="8:8" ht="18.75" customHeight="1">
      <c r="A125" s="7" t="s">
        <v>973</v>
      </c>
      <c r="B125" s="8" t="s">
        <v>974</v>
      </c>
      <c r="C125" s="8" t="s">
        <v>975</v>
      </c>
      <c r="D125" s="8" t="s">
        <v>939</v>
      </c>
      <c r="E125" s="8" t="s">
        <v>974</v>
      </c>
      <c r="F125" s="8" t="s">
        <v>976</v>
      </c>
      <c r="G125" s="8" t="s">
        <v>977</v>
      </c>
      <c r="H125" s="8" t="s">
        <v>404</v>
      </c>
      <c r="I125" s="9">
        <v>140.0</v>
      </c>
      <c r="J125" s="9">
        <v>1180.0</v>
      </c>
      <c r="K125" s="10">
        <v>1179.2</v>
      </c>
      <c r="L125" s="8" t="s">
        <v>942</v>
      </c>
      <c r="M125" s="8" t="s">
        <v>654</v>
      </c>
      <c r="N125" s="8" t="s">
        <v>647</v>
      </c>
      <c r="O125" s="9">
        <v>72.0</v>
      </c>
      <c r="P125" s="10">
        <v>896.2</v>
      </c>
      <c r="Q125" s="11">
        <v>47.2</v>
      </c>
      <c r="R125" s="10">
        <v>141.5</v>
      </c>
      <c r="S125" s="10">
        <v>94.3</v>
      </c>
      <c r="T125" s="8" t="s">
        <v>978</v>
      </c>
      <c r="U125" s="11">
        <v>12.2</v>
      </c>
      <c r="V125" s="11">
        <v>7.5</v>
      </c>
      <c r="W125" s="11">
        <f>U125-V125</f>
        <v>4.699999999999999</v>
      </c>
      <c r="X125" s="11">
        <v>11.0</v>
      </c>
      <c r="Y125" s="9">
        <v>680.0</v>
      </c>
      <c r="Z125" s="10">
        <v>353.6</v>
      </c>
      <c r="AA125" s="10">
        <v>52.0</v>
      </c>
      <c r="AB125" s="8" t="s">
        <v>50</v>
      </c>
      <c r="AC125" s="10">
        <v>816.9</v>
      </c>
      <c r="AD125" s="10">
        <v>567.6</v>
      </c>
      <c r="AE125" s="10">
        <f>AC125+AD125</f>
        <v>1384.5</v>
      </c>
      <c r="AF125" s="10">
        <v>779.7</v>
      </c>
      <c r="AG125" s="10">
        <v>488.3</v>
      </c>
      <c r="AH125" s="10">
        <v>179.5</v>
      </c>
      <c r="AI125" s="8" t="s">
        <v>743</v>
      </c>
      <c r="AJ125" s="8" t="s">
        <v>744</v>
      </c>
      <c r="AK125" s="8" t="s">
        <v>490</v>
      </c>
      <c r="AL125" s="8" t="s">
        <v>745</v>
      </c>
    </row>
    <row r="126" spans="8:8" ht="18.75" customHeight="1">
      <c r="A126" s="2" t="s">
        <v>979</v>
      </c>
      <c r="B126" s="3" t="s">
        <v>974</v>
      </c>
      <c r="C126" s="3" t="s">
        <v>980</v>
      </c>
      <c r="D126" s="3" t="s">
        <v>939</v>
      </c>
      <c r="E126" s="3" t="s">
        <v>974</v>
      </c>
      <c r="F126" s="3" t="s">
        <v>981</v>
      </c>
      <c r="G126" s="3" t="s">
        <v>982</v>
      </c>
      <c r="H126" s="3" t="s">
        <v>983</v>
      </c>
      <c r="I126" s="4">
        <v>160.0</v>
      </c>
      <c r="J126" s="4">
        <v>1680.0</v>
      </c>
      <c r="K126" s="5">
        <v>1666.6</v>
      </c>
      <c r="L126" s="3" t="s">
        <v>984</v>
      </c>
      <c r="M126" s="3" t="s">
        <v>761</v>
      </c>
      <c r="N126" s="3" t="s">
        <v>562</v>
      </c>
      <c r="O126" s="4">
        <v>98.0</v>
      </c>
      <c r="P126" s="5">
        <v>1200.0</v>
      </c>
      <c r="Q126" s="5">
        <v>83.3</v>
      </c>
      <c r="R126" s="5">
        <v>216.7</v>
      </c>
      <c r="S126" s="5">
        <v>166.6</v>
      </c>
      <c r="T126" s="3" t="s">
        <v>985</v>
      </c>
      <c r="U126" s="6">
        <v>7.8</v>
      </c>
      <c r="V126" s="6">
        <v>3.9</v>
      </c>
      <c r="W126" s="6">
        <f>U126-V126</f>
        <v>3.9</v>
      </c>
      <c r="X126" s="6">
        <v>6.0</v>
      </c>
      <c r="Y126" s="4">
        <v>540.0</v>
      </c>
      <c r="Z126" s="5">
        <v>183.6</v>
      </c>
      <c r="AA126" s="6">
        <v>34.0</v>
      </c>
      <c r="AB126" s="3" t="s">
        <v>50</v>
      </c>
      <c r="AC126" s="5">
        <v>1157.6</v>
      </c>
      <c r="AD126" s="5">
        <v>256.9</v>
      </c>
      <c r="AE126" s="5">
        <f>AC126+AD126</f>
        <v>1414.5</v>
      </c>
      <c r="AF126" s="5">
        <v>893.1</v>
      </c>
      <c r="AG126" s="5">
        <v>425.4</v>
      </c>
      <c r="AH126" s="5">
        <v>168.0</v>
      </c>
      <c r="AI126" s="3" t="s">
        <v>846</v>
      </c>
      <c r="AJ126" s="3" t="s">
        <v>847</v>
      </c>
      <c r="AK126" s="3" t="s">
        <v>848</v>
      </c>
      <c r="AL126" s="3" t="s">
        <v>849</v>
      </c>
    </row>
    <row r="127" spans="8:8" ht="18.75" customHeight="1">
      <c r="A127" s="7" t="s">
        <v>986</v>
      </c>
      <c r="B127" s="8" t="s">
        <v>974</v>
      </c>
      <c r="C127" s="8" t="s">
        <v>987</v>
      </c>
      <c r="D127" s="8" t="s">
        <v>939</v>
      </c>
      <c r="E127" s="8" t="s">
        <v>974</v>
      </c>
      <c r="F127" s="8" t="s">
        <v>988</v>
      </c>
      <c r="G127" s="8" t="s">
        <v>989</v>
      </c>
      <c r="H127" s="8" t="s">
        <v>990</v>
      </c>
      <c r="I127" s="9">
        <v>165.0</v>
      </c>
      <c r="J127" s="9">
        <v>1290.0</v>
      </c>
      <c r="K127" s="10">
        <v>1286.6</v>
      </c>
      <c r="L127" s="8" t="s">
        <v>991</v>
      </c>
      <c r="M127" s="8" t="s">
        <v>686</v>
      </c>
      <c r="N127" s="8" t="s">
        <v>597</v>
      </c>
      <c r="O127" s="9">
        <v>78.0</v>
      </c>
      <c r="P127" s="10">
        <v>772.0</v>
      </c>
      <c r="Q127" s="10">
        <v>77.2</v>
      </c>
      <c r="R127" s="10">
        <v>257.3</v>
      </c>
      <c r="S127" s="10">
        <v>180.1</v>
      </c>
      <c r="T127" s="8" t="s">
        <v>992</v>
      </c>
      <c r="U127" s="11">
        <v>6.5</v>
      </c>
      <c r="V127" s="11">
        <v>3.2</v>
      </c>
      <c r="W127" s="11">
        <f>U127-V127</f>
        <v>3.3</v>
      </c>
      <c r="X127" s="11">
        <v>3.5</v>
      </c>
      <c r="Y127" s="9">
        <v>320.0</v>
      </c>
      <c r="Z127" s="10">
        <v>67.2</v>
      </c>
      <c r="AA127" s="11">
        <v>21.0</v>
      </c>
      <c r="AB127" s="8" t="s">
        <v>50</v>
      </c>
      <c r="AC127" s="10">
        <v>902.0</v>
      </c>
      <c r="AD127" s="10">
        <v>126.8</v>
      </c>
      <c r="AE127" s="10">
        <f>AC127+AD127</f>
        <v>1028.8</v>
      </c>
      <c r="AF127" s="10">
        <v>563.0</v>
      </c>
      <c r="AG127" s="10">
        <v>388.5</v>
      </c>
      <c r="AH127" s="10">
        <v>151.5</v>
      </c>
      <c r="AI127" s="8" t="s">
        <v>950</v>
      </c>
      <c r="AJ127" s="8" t="s">
        <v>951</v>
      </c>
      <c r="AK127" s="8" t="s">
        <v>848</v>
      </c>
      <c r="AL127" s="8" t="s">
        <v>952</v>
      </c>
    </row>
    <row r="128" spans="8:8" ht="18.75" customHeight="1">
      <c r="A128" s="2" t="s">
        <v>993</v>
      </c>
      <c r="B128" s="3" t="s">
        <v>974</v>
      </c>
      <c r="C128" s="3" t="s">
        <v>994</v>
      </c>
      <c r="D128" s="3" t="s">
        <v>939</v>
      </c>
      <c r="E128" s="3" t="s">
        <v>974</v>
      </c>
      <c r="F128" s="3" t="s">
        <v>995</v>
      </c>
      <c r="G128" s="3" t="s">
        <v>996</v>
      </c>
      <c r="H128" s="3" t="s">
        <v>243</v>
      </c>
      <c r="I128" s="4">
        <v>80.0</v>
      </c>
      <c r="J128" s="4">
        <v>285.0</v>
      </c>
      <c r="K128" s="5">
        <v>287.3</v>
      </c>
      <c r="L128" s="3" t="s">
        <v>997</v>
      </c>
      <c r="M128" s="3" t="s">
        <v>967</v>
      </c>
      <c r="N128" s="3" t="s">
        <v>968</v>
      </c>
      <c r="O128" s="4">
        <v>20.0</v>
      </c>
      <c r="P128" s="5">
        <v>80.4</v>
      </c>
      <c r="Q128" s="6">
        <v>23.0</v>
      </c>
      <c r="R128" s="5">
        <v>120.7</v>
      </c>
      <c r="S128" s="5">
        <v>63.2</v>
      </c>
      <c r="T128" s="3" t="s">
        <v>998</v>
      </c>
      <c r="U128" s="6">
        <v>7.2</v>
      </c>
      <c r="V128" s="6">
        <v>4.5</v>
      </c>
      <c r="W128" s="6">
        <f>U128-V128</f>
        <v>2.7</v>
      </c>
      <c r="X128" s="6">
        <v>5.0</v>
      </c>
      <c r="Y128" s="4">
        <v>120.0</v>
      </c>
      <c r="Z128" s="6">
        <v>18.0</v>
      </c>
      <c r="AA128" s="6">
        <v>15.0</v>
      </c>
      <c r="AB128" s="3" t="s">
        <v>50</v>
      </c>
      <c r="AC128" s="5">
        <v>206.7</v>
      </c>
      <c r="AD128" s="5">
        <v>148.2</v>
      </c>
      <c r="AE128" s="5">
        <f>AC128+AD128</f>
        <v>354.9</v>
      </c>
      <c r="AF128" s="5">
        <v>99.2</v>
      </c>
      <c r="AG128" s="5">
        <v>197.9</v>
      </c>
      <c r="AH128" s="5">
        <v>73.8</v>
      </c>
      <c r="AI128" s="3" t="s">
        <v>970</v>
      </c>
      <c r="AJ128" s="3" t="s">
        <v>971</v>
      </c>
      <c r="AK128" s="3" t="s">
        <v>848</v>
      </c>
      <c r="AL128" s="3" t="s">
        <v>972</v>
      </c>
    </row>
    <row r="129" spans="8:8" ht="18.75" customHeight="1">
      <c r="A129" s="7" t="s">
        <v>999</v>
      </c>
      <c r="B129" s="8" t="s">
        <v>1000</v>
      </c>
      <c r="C129" s="8" t="s">
        <v>1001</v>
      </c>
      <c r="D129" s="8" t="s">
        <v>939</v>
      </c>
      <c r="E129" s="8" t="s">
        <v>1000</v>
      </c>
      <c r="F129" s="8" t="s">
        <v>1002</v>
      </c>
      <c r="G129" s="8" t="s">
        <v>1003</v>
      </c>
      <c r="H129" s="8" t="s">
        <v>740</v>
      </c>
      <c r="I129" s="9">
        <v>185.0</v>
      </c>
      <c r="J129" s="9">
        <v>1420.0</v>
      </c>
      <c r="K129" s="10">
        <v>1413.4</v>
      </c>
      <c r="L129" s="8" t="s">
        <v>741</v>
      </c>
      <c r="M129" s="8" t="s">
        <v>666</v>
      </c>
      <c r="N129" s="8" t="s">
        <v>486</v>
      </c>
      <c r="O129" s="9">
        <v>84.0</v>
      </c>
      <c r="P129" s="10">
        <v>1187.3</v>
      </c>
      <c r="Q129" s="10">
        <v>56.5</v>
      </c>
      <c r="R129" s="10">
        <v>84.8</v>
      </c>
      <c r="S129" s="10">
        <v>84.8</v>
      </c>
      <c r="T129" s="8" t="s">
        <v>1004</v>
      </c>
      <c r="U129" s="11">
        <v>8.4</v>
      </c>
      <c r="V129" s="11">
        <v>4.1</v>
      </c>
      <c r="W129" s="11">
        <f>U129-V129</f>
        <v>4.300000000000001</v>
      </c>
      <c r="X129" s="11">
        <v>16.5</v>
      </c>
      <c r="Y129" s="9">
        <v>2150.0</v>
      </c>
      <c r="Z129" s="10">
        <v>1386.8</v>
      </c>
      <c r="AA129" s="10">
        <v>64.5</v>
      </c>
      <c r="AB129" s="8" t="s">
        <v>50</v>
      </c>
      <c r="AC129" s="10">
        <v>972.8</v>
      </c>
      <c r="AD129" s="10">
        <v>779.0</v>
      </c>
      <c r="AE129" s="10">
        <f>AC129+AD129</f>
        <v>1751.8</v>
      </c>
      <c r="AF129" s="10">
        <v>1041.1</v>
      </c>
      <c r="AG129" s="10">
        <v>578.7</v>
      </c>
      <c r="AH129" s="10">
        <v>215.2</v>
      </c>
      <c r="AI129" s="8" t="s">
        <v>743</v>
      </c>
      <c r="AJ129" s="8" t="s">
        <v>744</v>
      </c>
      <c r="AK129" s="8" t="s">
        <v>490</v>
      </c>
      <c r="AL129" s="8" t="s">
        <v>745</v>
      </c>
    </row>
    <row r="130" spans="8:8" ht="18.75" customHeight="1">
      <c r="A130" s="2" t="s">
        <v>1005</v>
      </c>
      <c r="B130" s="3" t="s">
        <v>1000</v>
      </c>
      <c r="C130" s="3" t="s">
        <v>1006</v>
      </c>
      <c r="D130" s="3" t="s">
        <v>939</v>
      </c>
      <c r="E130" s="3" t="s">
        <v>1000</v>
      </c>
      <c r="F130" s="3" t="s">
        <v>1007</v>
      </c>
      <c r="G130" s="3" t="s">
        <v>1008</v>
      </c>
      <c r="H130" s="3" t="s">
        <v>1009</v>
      </c>
      <c r="I130" s="4">
        <v>145.0</v>
      </c>
      <c r="J130" s="4">
        <v>1540.0</v>
      </c>
      <c r="K130" s="5">
        <v>1521.5</v>
      </c>
      <c r="L130" s="3" t="s">
        <v>1010</v>
      </c>
      <c r="M130" s="3" t="s">
        <v>666</v>
      </c>
      <c r="N130" s="3" t="s">
        <v>486</v>
      </c>
      <c r="O130" s="4">
        <v>90.0</v>
      </c>
      <c r="P130" s="5">
        <v>1186.8</v>
      </c>
      <c r="Q130" s="5">
        <v>76.1</v>
      </c>
      <c r="R130" s="5">
        <v>152.2</v>
      </c>
      <c r="S130" s="5">
        <v>106.4</v>
      </c>
      <c r="T130" s="3" t="s">
        <v>1011</v>
      </c>
      <c r="U130" s="6">
        <v>9.5</v>
      </c>
      <c r="V130" s="6">
        <v>4.8</v>
      </c>
      <c r="W130" s="6">
        <f>U130-V130</f>
        <v>4.7</v>
      </c>
      <c r="X130" s="6">
        <v>4.0</v>
      </c>
      <c r="Y130" s="4">
        <v>520.0</v>
      </c>
      <c r="Z130" s="5">
        <v>145.6</v>
      </c>
      <c r="AA130" s="6">
        <v>28.0</v>
      </c>
      <c r="AB130" s="3" t="s">
        <v>50</v>
      </c>
      <c r="AC130" s="5">
        <v>1052.7</v>
      </c>
      <c r="AD130" s="5">
        <v>206.5</v>
      </c>
      <c r="AE130" s="5">
        <f>AC130+AD130</f>
        <v>1259.2</v>
      </c>
      <c r="AF130" s="5">
        <v>868.9</v>
      </c>
      <c r="AG130" s="5">
        <v>339.6</v>
      </c>
      <c r="AH130" s="5">
        <v>115.8</v>
      </c>
      <c r="AI130" s="3" t="s">
        <v>950</v>
      </c>
      <c r="AJ130" s="3" t="s">
        <v>951</v>
      </c>
      <c r="AK130" s="3" t="s">
        <v>848</v>
      </c>
      <c r="AL130" s="3" t="s">
        <v>952</v>
      </c>
    </row>
    <row r="131" spans="8:8" ht="18.75" customHeight="1">
      <c r="A131" s="7" t="s">
        <v>1012</v>
      </c>
      <c r="B131" s="8" t="s">
        <v>1000</v>
      </c>
      <c r="C131" s="8" t="s">
        <v>1013</v>
      </c>
      <c r="D131" s="8" t="s">
        <v>939</v>
      </c>
      <c r="E131" s="8" t="s">
        <v>1000</v>
      </c>
      <c r="F131" s="8" t="s">
        <v>1014</v>
      </c>
      <c r="G131" s="8" t="s">
        <v>1015</v>
      </c>
      <c r="H131" s="8" t="s">
        <v>990</v>
      </c>
      <c r="I131" s="9">
        <v>140.0</v>
      </c>
      <c r="J131" s="9">
        <v>1650.0</v>
      </c>
      <c r="K131" s="10">
        <v>1639.0</v>
      </c>
      <c r="L131" s="8" t="s">
        <v>1016</v>
      </c>
      <c r="M131" s="8" t="s">
        <v>1017</v>
      </c>
      <c r="N131" s="8" t="s">
        <v>562</v>
      </c>
      <c r="O131" s="9">
        <v>97.0</v>
      </c>
      <c r="P131" s="10">
        <v>1180.1</v>
      </c>
      <c r="Q131" s="10">
        <v>82.0</v>
      </c>
      <c r="R131" s="10">
        <v>213.1</v>
      </c>
      <c r="S131" s="10">
        <v>163.8</v>
      </c>
      <c r="T131" s="8" t="s">
        <v>1018</v>
      </c>
      <c r="U131" s="11">
        <v>6.8</v>
      </c>
      <c r="V131" s="11">
        <v>3.1</v>
      </c>
      <c r="W131" s="11">
        <f>U131-V131</f>
        <v>3.6999999999999997</v>
      </c>
      <c r="X131" s="11">
        <v>3.5</v>
      </c>
      <c r="Y131" s="9">
        <v>310.0</v>
      </c>
      <c r="Z131" s="10">
        <v>51.2</v>
      </c>
      <c r="AA131" s="11">
        <v>16.5</v>
      </c>
      <c r="AB131" s="8" t="s">
        <v>50</v>
      </c>
      <c r="AC131" s="10">
        <v>1138.5</v>
      </c>
      <c r="AD131" s="10">
        <v>142.2</v>
      </c>
      <c r="AE131" s="10">
        <f>AC131+AD131</f>
        <v>1280.7</v>
      </c>
      <c r="AF131" s="10">
        <v>845.2</v>
      </c>
      <c r="AG131" s="10">
        <v>355.4</v>
      </c>
      <c r="AH131" s="10">
        <v>143.1</v>
      </c>
      <c r="AI131" s="8" t="s">
        <v>950</v>
      </c>
      <c r="AJ131" s="8" t="s">
        <v>951</v>
      </c>
      <c r="AK131" s="8" t="s">
        <v>848</v>
      </c>
      <c r="AL131" s="8" t="s">
        <v>952</v>
      </c>
    </row>
    <row r="132" spans="8:8" ht="18.75" customHeight="1">
      <c r="A132" s="2" t="s">
        <v>1019</v>
      </c>
      <c r="B132" s="3" t="s">
        <v>1020</v>
      </c>
      <c r="C132" s="3" t="s">
        <v>1021</v>
      </c>
      <c r="D132" s="3" t="s">
        <v>839</v>
      </c>
      <c r="E132" s="3" t="s">
        <v>1022</v>
      </c>
      <c r="F132" s="3" t="s">
        <v>1023</v>
      </c>
      <c r="G132" s="3" t="s">
        <v>1024</v>
      </c>
      <c r="H132" s="3" t="s">
        <v>243</v>
      </c>
      <c r="I132" s="4">
        <v>175.0</v>
      </c>
      <c r="J132" s="4">
        <v>2240.0</v>
      </c>
      <c r="K132" s="5">
        <v>2208.6</v>
      </c>
      <c r="L132" s="3" t="s">
        <v>1025</v>
      </c>
      <c r="M132" s="3" t="s">
        <v>1026</v>
      </c>
      <c r="N132" s="3" t="s">
        <v>418</v>
      </c>
      <c r="O132" s="4">
        <v>127.0</v>
      </c>
      <c r="P132" s="5">
        <v>1546.0</v>
      </c>
      <c r="Q132" s="5">
        <v>132.5</v>
      </c>
      <c r="R132" s="6">
        <v>44.2</v>
      </c>
      <c r="S132" s="5">
        <v>485.9</v>
      </c>
      <c r="T132" s="3" t="s">
        <v>1027</v>
      </c>
      <c r="U132" s="6">
        <v>3.8</v>
      </c>
      <c r="V132" s="6">
        <v>1.5</v>
      </c>
      <c r="W132" s="6">
        <f>U132-V132</f>
        <v>2.3</v>
      </c>
      <c r="X132" s="6">
        <v>18.0</v>
      </c>
      <c r="Y132" s="4">
        <v>4650.0</v>
      </c>
      <c r="Z132" s="5">
        <v>660.3</v>
      </c>
      <c r="AA132" s="6">
        <v>14.2</v>
      </c>
      <c r="AB132" s="3" t="s">
        <v>50</v>
      </c>
      <c r="AC132" s="5">
        <v>1523.9</v>
      </c>
      <c r="AD132" s="5">
        <v>454.6</v>
      </c>
      <c r="AE132" s="5">
        <f>AC132+AD132</f>
        <v>1978.5</v>
      </c>
      <c r="AF132" s="5">
        <v>1187.7</v>
      </c>
      <c r="AG132" s="5">
        <v>438.6</v>
      </c>
      <c r="AH132" s="5">
        <v>431.0</v>
      </c>
      <c r="AI132" s="3" t="s">
        <v>743</v>
      </c>
      <c r="AJ132" s="3" t="s">
        <v>744</v>
      </c>
      <c r="AK132" s="3" t="s">
        <v>490</v>
      </c>
      <c r="AL132" s="3" t="s">
        <v>745</v>
      </c>
    </row>
    <row r="133" spans="8:8" ht="18.75" customHeight="1">
      <c r="A133" s="7" t="s">
        <v>1028</v>
      </c>
      <c r="B133" s="8" t="s">
        <v>1020</v>
      </c>
      <c r="C133" s="8" t="s">
        <v>1029</v>
      </c>
      <c r="D133" s="8" t="s">
        <v>839</v>
      </c>
      <c r="E133" s="8" t="s">
        <v>1022</v>
      </c>
      <c r="F133" s="8" t="s">
        <v>1030</v>
      </c>
      <c r="G133" s="8" t="s">
        <v>1031</v>
      </c>
      <c r="H133" s="8" t="s">
        <v>1032</v>
      </c>
      <c r="I133" s="9">
        <v>185.0</v>
      </c>
      <c r="J133" s="9">
        <v>2410.0</v>
      </c>
      <c r="K133" s="10">
        <v>2389.1</v>
      </c>
      <c r="L133" s="8" t="s">
        <v>1033</v>
      </c>
      <c r="M133" s="8" t="s">
        <v>317</v>
      </c>
      <c r="N133" s="8" t="s">
        <v>217</v>
      </c>
      <c r="O133" s="9">
        <v>137.0</v>
      </c>
      <c r="P133" s="10">
        <v>1624.6</v>
      </c>
      <c r="Q133" s="10">
        <v>167.2</v>
      </c>
      <c r="R133" s="10">
        <v>71.7</v>
      </c>
      <c r="S133" s="10">
        <v>525.6</v>
      </c>
      <c r="T133" s="8" t="s">
        <v>1034</v>
      </c>
      <c r="U133" s="11">
        <v>4.2</v>
      </c>
      <c r="V133" s="11">
        <v>1.7</v>
      </c>
      <c r="W133" s="11">
        <f>U133-V133</f>
        <v>2.5</v>
      </c>
      <c r="X133" s="11">
        <v>16.0</v>
      </c>
      <c r="Y133" s="9">
        <v>5420.0</v>
      </c>
      <c r="Z133" s="10">
        <v>894.3</v>
      </c>
      <c r="AA133" s="11">
        <v>16.5</v>
      </c>
      <c r="AB133" s="8" t="s">
        <v>50</v>
      </c>
      <c r="AC133" s="10">
        <v>1651.8</v>
      </c>
      <c r="AD133" s="10">
        <v>439.2</v>
      </c>
      <c r="AE133" s="10">
        <f>AC133+AD133</f>
        <v>2091.0</v>
      </c>
      <c r="AF133" s="10">
        <v>1236.5</v>
      </c>
      <c r="AG133" s="10">
        <v>482.0</v>
      </c>
      <c r="AH133" s="10">
        <v>455.7</v>
      </c>
      <c r="AI133" s="8" t="s">
        <v>743</v>
      </c>
      <c r="AJ133" s="8" t="s">
        <v>744</v>
      </c>
      <c r="AK133" s="8" t="s">
        <v>490</v>
      </c>
      <c r="AL133" s="8" t="s">
        <v>745</v>
      </c>
    </row>
    <row r="134" spans="8:8" ht="18.75" customHeight="1">
      <c r="A134" s="2" t="s">
        <v>1035</v>
      </c>
      <c r="B134" s="3" t="s">
        <v>1020</v>
      </c>
      <c r="C134" s="3" t="s">
        <v>1036</v>
      </c>
      <c r="D134" s="3" t="s">
        <v>839</v>
      </c>
      <c r="E134" s="3" t="s">
        <v>1022</v>
      </c>
      <c r="F134" s="3" t="s">
        <v>1037</v>
      </c>
      <c r="G134" s="3" t="s">
        <v>1038</v>
      </c>
      <c r="H134" s="3" t="s">
        <v>709</v>
      </c>
      <c r="I134" s="4">
        <v>175.0</v>
      </c>
      <c r="J134" s="4">
        <v>1680.0</v>
      </c>
      <c r="K134" s="5">
        <v>1674.4</v>
      </c>
      <c r="L134" s="3" t="s">
        <v>1039</v>
      </c>
      <c r="M134" s="3" t="s">
        <v>1040</v>
      </c>
      <c r="N134" s="3" t="s">
        <v>418</v>
      </c>
      <c r="O134" s="4">
        <v>99.0</v>
      </c>
      <c r="P134" s="5">
        <v>1188.8</v>
      </c>
      <c r="Q134" s="5">
        <v>117.2</v>
      </c>
      <c r="R134" s="6">
        <v>33.5</v>
      </c>
      <c r="S134" s="5">
        <v>334.9</v>
      </c>
      <c r="T134" s="3" t="s">
        <v>1041</v>
      </c>
      <c r="U134" s="6">
        <v>4.9</v>
      </c>
      <c r="V134" s="6">
        <v>2.1</v>
      </c>
      <c r="W134" s="6">
        <f>U134-V134</f>
        <v>2.8000000000000003</v>
      </c>
      <c r="X134" s="6">
        <v>15.0</v>
      </c>
      <c r="Y134" s="4">
        <v>3250.0</v>
      </c>
      <c r="Z134" s="5">
        <v>806.0</v>
      </c>
      <c r="AA134" s="6">
        <v>24.8</v>
      </c>
      <c r="AB134" s="3" t="s">
        <v>50</v>
      </c>
      <c r="AC134" s="5">
        <v>1155.8</v>
      </c>
      <c r="AD134" s="5">
        <v>461.2</v>
      </c>
      <c r="AE134" s="5">
        <f>AC134+AD134</f>
        <v>1617.0</v>
      </c>
      <c r="AF134" s="5">
        <v>946.8</v>
      </c>
      <c r="AG134" s="5">
        <v>422.4</v>
      </c>
      <c r="AH134" s="5">
        <v>326.6</v>
      </c>
      <c r="AI134" s="3" t="s">
        <v>743</v>
      </c>
      <c r="AJ134" s="3" t="s">
        <v>744</v>
      </c>
      <c r="AK134" s="3" t="s">
        <v>490</v>
      </c>
      <c r="AL134" s="3" t="s">
        <v>745</v>
      </c>
    </row>
    <row r="135" spans="8:8" ht="18.75" customHeight="1">
      <c r="A135" s="7" t="s">
        <v>1042</v>
      </c>
      <c r="B135" s="8" t="s">
        <v>1020</v>
      </c>
      <c r="C135" s="8" t="s">
        <v>1043</v>
      </c>
      <c r="D135" s="8" t="s">
        <v>839</v>
      </c>
      <c r="E135" s="8" t="s">
        <v>1022</v>
      </c>
      <c r="F135" s="8" t="s">
        <v>1044</v>
      </c>
      <c r="G135" s="8" t="s">
        <v>1045</v>
      </c>
      <c r="H135" s="8" t="s">
        <v>243</v>
      </c>
      <c r="I135" s="9">
        <v>175.0</v>
      </c>
      <c r="J135" s="9">
        <v>2150.0</v>
      </c>
      <c r="K135" s="10">
        <v>2154.3</v>
      </c>
      <c r="L135" s="8" t="s">
        <v>1039</v>
      </c>
      <c r="M135" s="8" t="s">
        <v>1026</v>
      </c>
      <c r="N135" s="8" t="s">
        <v>874</v>
      </c>
      <c r="O135" s="9">
        <v>124.0</v>
      </c>
      <c r="P135" s="10">
        <v>1508.0</v>
      </c>
      <c r="Q135" s="10">
        <v>129.3</v>
      </c>
      <c r="R135" s="11">
        <v>43.1</v>
      </c>
      <c r="S135" s="10">
        <v>473.9</v>
      </c>
      <c r="T135" s="8" t="s">
        <v>1046</v>
      </c>
      <c r="U135" s="11">
        <v>4.1</v>
      </c>
      <c r="V135" s="11">
        <v>1.6</v>
      </c>
      <c r="W135" s="11">
        <f>U135-V135</f>
        <v>2.4999999999999996</v>
      </c>
      <c r="X135" s="11">
        <v>17.5</v>
      </c>
      <c r="Y135" s="9">
        <v>6850.0</v>
      </c>
      <c r="Z135" s="10">
        <v>1507.0</v>
      </c>
      <c r="AA135" s="11">
        <v>22.0</v>
      </c>
      <c r="AB135" s="8" t="s">
        <v>50</v>
      </c>
      <c r="AC135" s="10">
        <v>1486.4</v>
      </c>
      <c r="AD135" s="10">
        <v>480.3</v>
      </c>
      <c r="AE135" s="10">
        <f>AC135+AD135</f>
        <v>1966.7</v>
      </c>
      <c r="AF135" s="10">
        <v>1169.5</v>
      </c>
      <c r="AG135" s="10">
        <v>448.3</v>
      </c>
      <c r="AH135" s="10">
        <v>427.8</v>
      </c>
      <c r="AI135" s="8" t="s">
        <v>743</v>
      </c>
      <c r="AJ135" s="8" t="s">
        <v>744</v>
      </c>
      <c r="AK135" s="8" t="s">
        <v>490</v>
      </c>
      <c r="AL135" s="8" t="s">
        <v>745</v>
      </c>
    </row>
    <row r="136" spans="8:8" ht="18.75" customHeight="1">
      <c r="A136" s="2" t="s">
        <v>1047</v>
      </c>
      <c r="B136" s="3" t="s">
        <v>1020</v>
      </c>
      <c r="C136" s="3" t="s">
        <v>1048</v>
      </c>
      <c r="D136" s="3" t="s">
        <v>839</v>
      </c>
      <c r="E136" s="3" t="s">
        <v>1022</v>
      </c>
      <c r="F136" s="3" t="s">
        <v>1049</v>
      </c>
      <c r="G136" s="3" t="s">
        <v>1050</v>
      </c>
      <c r="H136" s="3" t="s">
        <v>1032</v>
      </c>
      <c r="I136" s="4">
        <v>180.0</v>
      </c>
      <c r="J136" s="4">
        <v>2850.0</v>
      </c>
      <c r="K136" s="5">
        <v>2834.8</v>
      </c>
      <c r="L136" s="3" t="s">
        <v>1051</v>
      </c>
      <c r="M136" s="3" t="s">
        <v>260</v>
      </c>
      <c r="N136" s="3" t="s">
        <v>236</v>
      </c>
      <c r="O136" s="4">
        <v>145.0</v>
      </c>
      <c r="P136" s="5">
        <v>1871.0</v>
      </c>
      <c r="Q136" s="5">
        <v>226.8</v>
      </c>
      <c r="R136" s="5">
        <v>56.7</v>
      </c>
      <c r="S136" s="5">
        <v>680.3</v>
      </c>
      <c r="T136" s="3" t="s">
        <v>1052</v>
      </c>
      <c r="U136" s="6">
        <v>3.9</v>
      </c>
      <c r="V136" s="6">
        <v>1.4</v>
      </c>
      <c r="W136" s="6">
        <f>U136-V136</f>
        <v>2.5</v>
      </c>
      <c r="X136" s="6">
        <v>12.0</v>
      </c>
      <c r="Y136" s="4">
        <v>1850.0</v>
      </c>
      <c r="Z136" s="5">
        <v>212.8</v>
      </c>
      <c r="AA136" s="6">
        <v>11.5</v>
      </c>
      <c r="AB136" s="3" t="s">
        <v>50</v>
      </c>
      <c r="AC136" s="5">
        <v>1961.1</v>
      </c>
      <c r="AD136" s="5">
        <v>329.4</v>
      </c>
      <c r="AE136" s="5">
        <f>AC136+AD136</f>
        <v>2290.5</v>
      </c>
      <c r="AF136" s="5">
        <v>1371.1</v>
      </c>
      <c r="AG136" s="5">
        <v>458.3</v>
      </c>
      <c r="AH136" s="5">
        <v>542.1</v>
      </c>
      <c r="AI136" s="3" t="s">
        <v>743</v>
      </c>
      <c r="AJ136" s="3" t="s">
        <v>744</v>
      </c>
      <c r="AK136" s="3" t="s">
        <v>490</v>
      </c>
      <c r="AL136" s="3" t="s">
        <v>745</v>
      </c>
    </row>
    <row r="137" spans="8:8" ht="18.75" customHeight="1">
      <c r="A137" s="7" t="s">
        <v>1053</v>
      </c>
      <c r="B137" s="8" t="s">
        <v>1020</v>
      </c>
      <c r="C137" s="8" t="s">
        <v>1054</v>
      </c>
      <c r="D137" s="8" t="s">
        <v>839</v>
      </c>
      <c r="E137" s="8" t="s">
        <v>1022</v>
      </c>
      <c r="F137" s="8" t="s">
        <v>1055</v>
      </c>
      <c r="G137" s="8" t="s">
        <v>1056</v>
      </c>
      <c r="H137" s="8" t="s">
        <v>1057</v>
      </c>
      <c r="I137" s="9">
        <v>145.0</v>
      </c>
      <c r="J137" s="9">
        <v>1580.0</v>
      </c>
      <c r="K137" s="10">
        <v>1580.0</v>
      </c>
      <c r="L137" s="8" t="s">
        <v>1058</v>
      </c>
      <c r="M137" s="8" t="s">
        <v>317</v>
      </c>
      <c r="N137" s="8" t="s">
        <v>217</v>
      </c>
      <c r="O137" s="9">
        <v>93.0</v>
      </c>
      <c r="P137" s="10">
        <v>1121.8</v>
      </c>
      <c r="Q137" s="10">
        <v>126.4</v>
      </c>
      <c r="R137" s="11">
        <v>31.6</v>
      </c>
      <c r="S137" s="10">
        <v>300.2</v>
      </c>
      <c r="T137" s="8" t="s">
        <v>1059</v>
      </c>
      <c r="U137" s="11">
        <v>6.8</v>
      </c>
      <c r="V137" s="11">
        <v>2.8</v>
      </c>
      <c r="W137" s="11">
        <f>U137-V137</f>
        <v>4.0</v>
      </c>
      <c r="X137" s="11">
        <v>4.5</v>
      </c>
      <c r="Y137" s="9">
        <v>920.0</v>
      </c>
      <c r="Z137" s="10">
        <v>110.4</v>
      </c>
      <c r="AA137" s="11">
        <v>12.0</v>
      </c>
      <c r="AB137" s="8" t="s">
        <v>50</v>
      </c>
      <c r="AC137" s="10">
        <v>1091.4</v>
      </c>
      <c r="AD137" s="10">
        <v>197.6</v>
      </c>
      <c r="AE137" s="10">
        <f>AC137+AD137</f>
        <v>1289.0</v>
      </c>
      <c r="AF137" s="10">
        <v>822.1</v>
      </c>
      <c r="AG137" s="10">
        <v>282.5</v>
      </c>
      <c r="AH137" s="10">
        <v>249.6</v>
      </c>
      <c r="AI137" s="8" t="s">
        <v>269</v>
      </c>
      <c r="AJ137" s="8" t="s">
        <v>270</v>
      </c>
      <c r="AK137" s="8" t="s">
        <v>63</v>
      </c>
      <c r="AL137" s="8" t="s">
        <v>271</v>
      </c>
    </row>
    <row r="138" spans="8:8" ht="18.75" customHeight="1">
      <c r="A138" s="2" t="s">
        <v>1060</v>
      </c>
      <c r="B138" s="3" t="s">
        <v>1061</v>
      </c>
      <c r="C138" s="3" t="s">
        <v>1062</v>
      </c>
      <c r="D138" s="3" t="s">
        <v>839</v>
      </c>
      <c r="E138" s="3" t="s">
        <v>840</v>
      </c>
      <c r="F138" s="3" t="s">
        <v>1063</v>
      </c>
      <c r="G138" s="3" t="s">
        <v>1064</v>
      </c>
      <c r="H138" s="3" t="s">
        <v>740</v>
      </c>
      <c r="I138" s="4">
        <v>160.0</v>
      </c>
      <c r="J138" s="4">
        <v>2780.0</v>
      </c>
      <c r="K138" s="5">
        <v>2759.6</v>
      </c>
      <c r="L138" s="3" t="s">
        <v>1033</v>
      </c>
      <c r="M138" s="3" t="s">
        <v>1026</v>
      </c>
      <c r="N138" s="3" t="s">
        <v>418</v>
      </c>
      <c r="O138" s="4">
        <v>145.0</v>
      </c>
      <c r="P138" s="5">
        <v>2042.1</v>
      </c>
      <c r="Q138" s="5">
        <v>193.2</v>
      </c>
      <c r="R138" s="5">
        <v>82.8</v>
      </c>
      <c r="S138" s="5">
        <v>441.5</v>
      </c>
      <c r="T138" s="3" t="s">
        <v>1065</v>
      </c>
      <c r="U138" s="6">
        <v>5.5</v>
      </c>
      <c r="V138" s="6">
        <v>2.1</v>
      </c>
      <c r="W138" s="6">
        <f>U138-V138</f>
        <v>3.4</v>
      </c>
      <c r="X138" s="6">
        <v>3.5</v>
      </c>
      <c r="Y138" s="4">
        <v>240.0</v>
      </c>
      <c r="Z138" s="6">
        <v>22.8</v>
      </c>
      <c r="AA138" s="6">
        <v>9.5</v>
      </c>
      <c r="AB138" s="3" t="s">
        <v>50</v>
      </c>
      <c r="AC138" s="5">
        <v>1904.6</v>
      </c>
      <c r="AD138" s="5">
        <v>130.7</v>
      </c>
      <c r="AE138" s="5">
        <f>AC138+AD138</f>
        <v>2035.3</v>
      </c>
      <c r="AF138" s="5">
        <v>1427.8</v>
      </c>
      <c r="AG138" s="5">
        <v>344.3</v>
      </c>
      <c r="AH138" s="5">
        <v>335.1</v>
      </c>
      <c r="AI138" s="3" t="s">
        <v>846</v>
      </c>
      <c r="AJ138" s="3" t="s">
        <v>847</v>
      </c>
      <c r="AK138" s="3" t="s">
        <v>848</v>
      </c>
      <c r="AL138" s="3" t="s">
        <v>849</v>
      </c>
    </row>
    <row r="139" spans="8:8" ht="18.75" customHeight="1">
      <c r="A139" s="7" t="s">
        <v>1066</v>
      </c>
      <c r="B139" s="8" t="s">
        <v>1067</v>
      </c>
      <c r="C139" s="8" t="s">
        <v>1068</v>
      </c>
      <c r="D139" s="8" t="s">
        <v>839</v>
      </c>
      <c r="E139" s="8" t="s">
        <v>1067</v>
      </c>
      <c r="F139" s="8" t="s">
        <v>1069</v>
      </c>
      <c r="G139" s="8" t="s">
        <v>1070</v>
      </c>
      <c r="H139" s="8" t="s">
        <v>1032</v>
      </c>
      <c r="I139" s="9">
        <v>165.0</v>
      </c>
      <c r="J139" s="9">
        <v>2920.0</v>
      </c>
      <c r="K139" s="10">
        <v>2877.2</v>
      </c>
      <c r="L139" s="8" t="s">
        <v>1071</v>
      </c>
      <c r="M139" s="8" t="s">
        <v>317</v>
      </c>
      <c r="N139" s="8" t="s">
        <v>217</v>
      </c>
      <c r="O139" s="9">
        <v>145.0</v>
      </c>
      <c r="P139" s="10">
        <v>2071.6</v>
      </c>
      <c r="Q139" s="10">
        <v>201.4</v>
      </c>
      <c r="R139" s="10">
        <v>115.1</v>
      </c>
      <c r="S139" s="10">
        <v>489.1</v>
      </c>
      <c r="T139" s="8" t="s">
        <v>1072</v>
      </c>
      <c r="U139" s="11">
        <v>4.5</v>
      </c>
      <c r="V139" s="11">
        <v>1.8</v>
      </c>
      <c r="W139" s="11">
        <f>U139-V139</f>
        <v>2.7</v>
      </c>
      <c r="X139" s="11">
        <v>8.0</v>
      </c>
      <c r="Y139" s="9">
        <v>1650.0</v>
      </c>
      <c r="Z139" s="10">
        <v>74.2</v>
      </c>
      <c r="AA139" s="11">
        <v>4.5</v>
      </c>
      <c r="AB139" s="8" t="s">
        <v>50</v>
      </c>
      <c r="AC139" s="10">
        <v>1988.5</v>
      </c>
      <c r="AD139" s="10">
        <v>237.2</v>
      </c>
      <c r="AE139" s="10">
        <f>AC139+AD139</f>
        <v>2225.7</v>
      </c>
      <c r="AF139" s="10">
        <v>1479.9</v>
      </c>
      <c r="AG139" s="10">
        <v>430.2</v>
      </c>
      <c r="AH139" s="10">
        <v>389.8</v>
      </c>
      <c r="AI139" s="8" t="s">
        <v>846</v>
      </c>
      <c r="AJ139" s="8" t="s">
        <v>847</v>
      </c>
      <c r="AK139" s="8" t="s">
        <v>848</v>
      </c>
      <c r="AL139" s="8" t="s">
        <v>849</v>
      </c>
    </row>
    <row r="140" spans="8:8" ht="18.75" customHeight="1">
      <c r="A140" s="2" t="s">
        <v>1073</v>
      </c>
      <c r="B140" s="3" t="s">
        <v>1074</v>
      </c>
      <c r="C140" s="3" t="s">
        <v>1075</v>
      </c>
      <c r="D140" s="3" t="s">
        <v>839</v>
      </c>
      <c r="E140" s="3" t="s">
        <v>1022</v>
      </c>
      <c r="F140" s="3" t="s">
        <v>1076</v>
      </c>
      <c r="G140" s="3" t="s">
        <v>1077</v>
      </c>
      <c r="H140" s="3" t="s">
        <v>361</v>
      </c>
      <c r="I140" s="4">
        <v>155.0</v>
      </c>
      <c r="J140" s="4">
        <v>3650.0</v>
      </c>
      <c r="K140" s="5">
        <v>3615.9</v>
      </c>
      <c r="L140" s="3" t="s">
        <v>1078</v>
      </c>
      <c r="M140" s="3" t="s">
        <v>260</v>
      </c>
      <c r="N140" s="3" t="s">
        <v>236</v>
      </c>
      <c r="O140" s="4">
        <v>145.0</v>
      </c>
      <c r="P140" s="5">
        <v>2675.8</v>
      </c>
      <c r="Q140" s="5">
        <v>253.1</v>
      </c>
      <c r="R140" s="6">
        <v>36.2</v>
      </c>
      <c r="S140" s="5">
        <v>650.8</v>
      </c>
      <c r="T140" s="3" t="s">
        <v>1079</v>
      </c>
      <c r="U140" s="6">
        <v>5.2</v>
      </c>
      <c r="V140" s="6">
        <v>1.9</v>
      </c>
      <c r="W140" s="6">
        <f>U140-V140</f>
        <v>3.3000000000000003</v>
      </c>
      <c r="X140" s="6">
        <v>4.5</v>
      </c>
      <c r="Y140" s="4">
        <v>1280.0</v>
      </c>
      <c r="Z140" s="5">
        <v>105.0</v>
      </c>
      <c r="AA140" s="6">
        <v>8.2</v>
      </c>
      <c r="AB140" s="3" t="s">
        <v>50</v>
      </c>
      <c r="AC140" s="5">
        <v>2492.1</v>
      </c>
      <c r="AD140" s="5">
        <v>163.1</v>
      </c>
      <c r="AE140" s="5">
        <f>AC140+AD140</f>
        <v>2655.2</v>
      </c>
      <c r="AF140" s="5">
        <v>1868.4</v>
      </c>
      <c r="AG140" s="5">
        <v>368.3</v>
      </c>
      <c r="AH140" s="5">
        <v>488.2</v>
      </c>
      <c r="AI140" s="3" t="s">
        <v>269</v>
      </c>
      <c r="AJ140" s="3" t="s">
        <v>270</v>
      </c>
      <c r="AK140" s="3" t="s">
        <v>63</v>
      </c>
      <c r="AL140" s="3" t="s">
        <v>271</v>
      </c>
    </row>
    <row r="141" spans="8:8" ht="18.75" customHeight="1">
      <c r="A141" s="7" t="s">
        <v>1080</v>
      </c>
      <c r="B141" s="8" t="s">
        <v>1081</v>
      </c>
      <c r="C141" s="8" t="s">
        <v>1082</v>
      </c>
      <c r="D141" s="8" t="s">
        <v>839</v>
      </c>
      <c r="E141" s="8" t="s">
        <v>1083</v>
      </c>
      <c r="F141" s="8" t="s">
        <v>1084</v>
      </c>
      <c r="G141" s="8" t="s">
        <v>1085</v>
      </c>
      <c r="H141" s="8" t="s">
        <v>1032</v>
      </c>
      <c r="I141" s="9">
        <v>175.0</v>
      </c>
      <c r="J141" s="9">
        <v>1650.0</v>
      </c>
      <c r="K141" s="10">
        <v>1643.4</v>
      </c>
      <c r="L141" s="8" t="s">
        <v>1086</v>
      </c>
      <c r="M141" s="8" t="s">
        <v>260</v>
      </c>
      <c r="N141" s="8" t="s">
        <v>236</v>
      </c>
      <c r="O141" s="9">
        <v>97.0</v>
      </c>
      <c r="P141" s="10">
        <v>1101.1</v>
      </c>
      <c r="Q141" s="10">
        <v>164.3</v>
      </c>
      <c r="R141" s="11">
        <v>49.3</v>
      </c>
      <c r="S141" s="10">
        <v>328.7</v>
      </c>
      <c r="T141" s="8" t="s">
        <v>1087</v>
      </c>
      <c r="U141" s="11">
        <v>4.8</v>
      </c>
      <c r="V141" s="11">
        <v>1.9</v>
      </c>
      <c r="W141" s="11">
        <f>U141-V141</f>
        <v>2.9</v>
      </c>
      <c r="X141" s="11">
        <v>8.5</v>
      </c>
      <c r="Y141" s="9">
        <v>680.0</v>
      </c>
      <c r="Z141" s="10">
        <v>71.4</v>
      </c>
      <c r="AA141" s="11">
        <v>10.5</v>
      </c>
      <c r="AB141" s="8" t="s">
        <v>50</v>
      </c>
      <c r="AC141" s="10">
        <v>1139.0</v>
      </c>
      <c r="AD141" s="10">
        <v>270.6</v>
      </c>
      <c r="AE141" s="10">
        <f>AC141+AD141</f>
        <v>1409.6</v>
      </c>
      <c r="AF141" s="10">
        <v>829.9</v>
      </c>
      <c r="AG141" s="10">
        <v>374.3</v>
      </c>
      <c r="AH141" s="10">
        <v>284.2</v>
      </c>
      <c r="AI141" s="8" t="s">
        <v>743</v>
      </c>
      <c r="AJ141" s="8" t="s">
        <v>744</v>
      </c>
      <c r="AK141" s="8" t="s">
        <v>490</v>
      </c>
      <c r="AL141" s="8" t="s">
        <v>745</v>
      </c>
    </row>
    <row r="142" spans="8:8" ht="18.75" customHeight="1">
      <c r="A142" s="2" t="s">
        <v>1088</v>
      </c>
      <c r="B142" s="3" t="s">
        <v>1089</v>
      </c>
      <c r="C142" s="3" t="s">
        <v>1090</v>
      </c>
      <c r="D142" s="3" t="s">
        <v>839</v>
      </c>
      <c r="E142" s="3" t="s">
        <v>1083</v>
      </c>
      <c r="F142" s="3" t="s">
        <v>1091</v>
      </c>
      <c r="G142" s="3" t="s">
        <v>1092</v>
      </c>
      <c r="H142" s="3" t="s">
        <v>1032</v>
      </c>
      <c r="I142" s="4">
        <v>150.0</v>
      </c>
      <c r="J142" s="4">
        <v>1890.0</v>
      </c>
      <c r="K142" s="5">
        <v>1868.6</v>
      </c>
      <c r="L142" s="3" t="s">
        <v>1086</v>
      </c>
      <c r="M142" s="3" t="s">
        <v>260</v>
      </c>
      <c r="N142" s="3" t="s">
        <v>217</v>
      </c>
      <c r="O142" s="4">
        <v>109.0</v>
      </c>
      <c r="P142" s="5">
        <v>1308.0</v>
      </c>
      <c r="Q142" s="5">
        <v>168.2</v>
      </c>
      <c r="R142" s="6">
        <v>37.4</v>
      </c>
      <c r="S142" s="5">
        <v>355.0</v>
      </c>
      <c r="T142" s="3" t="s">
        <v>1093</v>
      </c>
      <c r="U142" s="6">
        <v>5.6</v>
      </c>
      <c r="V142" s="6">
        <v>2.2</v>
      </c>
      <c r="W142" s="6">
        <f>U142-V142</f>
        <v>3.3999999999999995</v>
      </c>
      <c r="X142" s="6">
        <v>5.5</v>
      </c>
      <c r="Y142" s="4">
        <v>540.0</v>
      </c>
      <c r="Z142" s="5">
        <v>52.9</v>
      </c>
      <c r="AA142" s="6">
        <v>9.8</v>
      </c>
      <c r="AB142" s="3" t="s">
        <v>50</v>
      </c>
      <c r="AC142" s="5">
        <v>1292.1</v>
      </c>
      <c r="AD142" s="5">
        <v>205.3</v>
      </c>
      <c r="AE142" s="5">
        <f>AC142+AD142</f>
        <v>1497.3999999999999</v>
      </c>
      <c r="AF142" s="5">
        <v>951.0</v>
      </c>
      <c r="AG142" s="5">
        <v>324.4</v>
      </c>
      <c r="AH142" s="5">
        <v>289.6</v>
      </c>
      <c r="AI142" s="3" t="s">
        <v>846</v>
      </c>
      <c r="AJ142" s="3" t="s">
        <v>847</v>
      </c>
      <c r="AK142" s="3" t="s">
        <v>848</v>
      </c>
      <c r="AL142" s="3" t="s">
        <v>849</v>
      </c>
    </row>
    <row r="143" spans="8:8" ht="18.75" customHeight="1">
      <c r="A143" s="7" t="s">
        <v>1094</v>
      </c>
      <c r="B143" s="8" t="s">
        <v>1095</v>
      </c>
      <c r="C143" s="8" t="s">
        <v>1096</v>
      </c>
      <c r="D143" s="8" t="s">
        <v>839</v>
      </c>
      <c r="E143" s="8" t="s">
        <v>1083</v>
      </c>
      <c r="F143" s="8" t="s">
        <v>1097</v>
      </c>
      <c r="G143" s="8" t="s">
        <v>1098</v>
      </c>
      <c r="H143" s="8" t="s">
        <v>361</v>
      </c>
      <c r="I143" s="9">
        <v>145.0</v>
      </c>
      <c r="J143" s="9">
        <v>2480.0</v>
      </c>
      <c r="K143" s="10">
        <v>2465.1</v>
      </c>
      <c r="L143" s="8" t="s">
        <v>1086</v>
      </c>
      <c r="M143" s="8" t="s">
        <v>1099</v>
      </c>
      <c r="N143" s="8" t="s">
        <v>291</v>
      </c>
      <c r="O143" s="9">
        <v>141.0</v>
      </c>
      <c r="P143" s="10">
        <v>1700.9</v>
      </c>
      <c r="Q143" s="10">
        <v>246.5</v>
      </c>
      <c r="R143" s="11">
        <v>49.3</v>
      </c>
      <c r="S143" s="10">
        <v>468.4</v>
      </c>
      <c r="T143" s="8" t="s">
        <v>1100</v>
      </c>
      <c r="U143" s="11">
        <v>6.1</v>
      </c>
      <c r="V143" s="11">
        <v>2.4</v>
      </c>
      <c r="W143" s="11">
        <f>U143-V143</f>
        <v>3.6999999999999997</v>
      </c>
      <c r="X143" s="11">
        <v>4.0</v>
      </c>
      <c r="Y143" s="9">
        <v>380.0</v>
      </c>
      <c r="Z143" s="11">
        <v>32.3</v>
      </c>
      <c r="AA143" s="11">
        <v>8.5</v>
      </c>
      <c r="AB143" s="8" t="s">
        <v>50</v>
      </c>
      <c r="AC143" s="10">
        <v>1706.4</v>
      </c>
      <c r="AD143" s="10">
        <v>162.5</v>
      </c>
      <c r="AE143" s="10">
        <f>AC143+AD143</f>
        <v>1868.9</v>
      </c>
      <c r="AF143" s="10">
        <v>1205.4</v>
      </c>
      <c r="AG143" s="10">
        <v>368.3</v>
      </c>
      <c r="AH143" s="10">
        <v>360.4</v>
      </c>
      <c r="AI143" s="8" t="s">
        <v>1101</v>
      </c>
      <c r="AJ143" s="8" t="s">
        <v>1102</v>
      </c>
      <c r="AK143" s="8" t="s">
        <v>125</v>
      </c>
      <c r="AL143" s="8" t="s">
        <v>1103</v>
      </c>
    </row>
    <row r="144" spans="8:8" ht="18.75" customHeight="1">
      <c r="A144" s="2" t="s">
        <v>1104</v>
      </c>
      <c r="B144" s="3" t="s">
        <v>1105</v>
      </c>
      <c r="C144" s="3" t="s">
        <v>1106</v>
      </c>
      <c r="D144" s="3" t="s">
        <v>839</v>
      </c>
      <c r="E144" s="3" t="s">
        <v>1083</v>
      </c>
      <c r="F144" s="3" t="s">
        <v>1107</v>
      </c>
      <c r="G144" s="3" t="s">
        <v>1108</v>
      </c>
      <c r="H144" s="3" t="s">
        <v>361</v>
      </c>
      <c r="I144" s="4">
        <v>160.0</v>
      </c>
      <c r="J144" s="4">
        <v>2320.0</v>
      </c>
      <c r="K144" s="5">
        <v>2318.5</v>
      </c>
      <c r="L144" s="3" t="s">
        <v>1109</v>
      </c>
      <c r="M144" s="3" t="s">
        <v>260</v>
      </c>
      <c r="N144" s="3" t="s">
        <v>291</v>
      </c>
      <c r="O144" s="4">
        <v>133.0</v>
      </c>
      <c r="P144" s="5">
        <v>1507.0</v>
      </c>
      <c r="Q144" s="5">
        <v>208.7</v>
      </c>
      <c r="R144" s="6">
        <v>46.4</v>
      </c>
      <c r="S144" s="5">
        <v>556.4</v>
      </c>
      <c r="T144" s="3" t="s">
        <v>1110</v>
      </c>
      <c r="U144" s="6">
        <v>4.6</v>
      </c>
      <c r="V144" s="6">
        <v>1.8</v>
      </c>
      <c r="W144" s="6">
        <f>U144-V144</f>
        <v>2.8</v>
      </c>
      <c r="X144" s="6">
        <v>11.0</v>
      </c>
      <c r="Y144" s="4">
        <v>1240.0</v>
      </c>
      <c r="Z144" s="5">
        <v>173.6</v>
      </c>
      <c r="AA144" s="6">
        <v>14.0</v>
      </c>
      <c r="AB144" s="3" t="s">
        <v>50</v>
      </c>
      <c r="AC144" s="5">
        <v>1605.6</v>
      </c>
      <c r="AD144" s="5">
        <v>338.2</v>
      </c>
      <c r="AE144" s="5">
        <f>AC144+AD144</f>
        <v>1943.8</v>
      </c>
      <c r="AF144" s="5">
        <v>1126.3</v>
      </c>
      <c r="AG144" s="5">
        <v>432.4</v>
      </c>
      <c r="AH144" s="5">
        <v>457.1</v>
      </c>
      <c r="AI144" s="3" t="s">
        <v>743</v>
      </c>
      <c r="AJ144" s="3" t="s">
        <v>744</v>
      </c>
      <c r="AK144" s="3" t="s">
        <v>490</v>
      </c>
      <c r="AL144" s="3" t="s">
        <v>745</v>
      </c>
    </row>
    <row r="145" spans="8:8" ht="18.75" customHeight="1">
      <c r="A145" s="7" t="s">
        <v>1111</v>
      </c>
      <c r="B145" s="8" t="s">
        <v>1112</v>
      </c>
      <c r="C145" s="8" t="s">
        <v>1113</v>
      </c>
      <c r="D145" s="8" t="s">
        <v>255</v>
      </c>
      <c r="E145" s="8" t="s">
        <v>394</v>
      </c>
      <c r="F145" s="8" t="s">
        <v>1114</v>
      </c>
      <c r="G145" s="8" t="s">
        <v>1115</v>
      </c>
      <c r="H145" s="8" t="s">
        <v>258</v>
      </c>
      <c r="I145" s="9">
        <v>150.0</v>
      </c>
      <c r="J145" s="9">
        <v>3080.0</v>
      </c>
      <c r="K145" s="10">
        <v>3055.4</v>
      </c>
      <c r="L145" s="8" t="s">
        <v>397</v>
      </c>
      <c r="M145" s="8" t="s">
        <v>844</v>
      </c>
      <c r="N145" s="8" t="s">
        <v>418</v>
      </c>
      <c r="O145" s="9">
        <v>145.0</v>
      </c>
      <c r="P145" s="10">
        <v>2811.0</v>
      </c>
      <c r="Q145" s="10">
        <v>152.8</v>
      </c>
      <c r="R145" s="11">
        <v>15.3</v>
      </c>
      <c r="S145" s="10">
        <v>76.3</v>
      </c>
      <c r="T145" s="8" t="s">
        <v>347</v>
      </c>
      <c r="U145" s="11">
        <v>6.5</v>
      </c>
      <c r="V145" s="11">
        <v>2.2</v>
      </c>
      <c r="W145" s="11">
        <f>U145-V145</f>
        <v>4.3</v>
      </c>
      <c r="X145" s="11">
        <v>6.5</v>
      </c>
      <c r="Y145" s="9">
        <v>420.0</v>
      </c>
      <c r="Z145" s="10">
        <v>136.5</v>
      </c>
      <c r="AA145" s="11">
        <v>32.5</v>
      </c>
      <c r="AB145" s="8" t="s">
        <v>50</v>
      </c>
      <c r="AC145" s="10">
        <v>2091.0</v>
      </c>
      <c r="AD145" s="10">
        <v>306.9</v>
      </c>
      <c r="AE145" s="10">
        <f>AC145+AD145</f>
        <v>2397.9</v>
      </c>
      <c r="AF145" s="10">
        <v>2003.6</v>
      </c>
      <c r="AG145" s="10">
        <v>347.0</v>
      </c>
      <c r="AH145" s="10">
        <v>114.8</v>
      </c>
      <c r="AI145" s="8" t="s">
        <v>269</v>
      </c>
      <c r="AJ145" s="8" t="s">
        <v>270</v>
      </c>
      <c r="AK145" s="8" t="s">
        <v>63</v>
      </c>
      <c r="AL145" s="8" t="s">
        <v>271</v>
      </c>
    </row>
    <row r="146" spans="8:8" ht="18.75" customHeight="1">
      <c r="A146" s="2" t="s">
        <v>1116</v>
      </c>
      <c r="B146" s="3" t="s">
        <v>1117</v>
      </c>
      <c r="C146" s="3" t="s">
        <v>1118</v>
      </c>
      <c r="D146" s="3" t="s">
        <v>1119</v>
      </c>
      <c r="E146" s="3" t="s">
        <v>1120</v>
      </c>
      <c r="F146" s="3" t="s">
        <v>1121</v>
      </c>
      <c r="G146" s="3" t="s">
        <v>1122</v>
      </c>
      <c r="H146" s="3" t="s">
        <v>404</v>
      </c>
      <c r="I146" s="4">
        <v>155.0</v>
      </c>
      <c r="J146" s="4">
        <v>2980.0</v>
      </c>
      <c r="K146" s="5">
        <v>2972.1</v>
      </c>
      <c r="L146" s="3" t="s">
        <v>1123</v>
      </c>
      <c r="M146" s="3" t="s">
        <v>1124</v>
      </c>
      <c r="N146" s="3" t="s">
        <v>218</v>
      </c>
      <c r="O146" s="4">
        <v>145.0</v>
      </c>
      <c r="P146" s="5">
        <v>1842.7</v>
      </c>
      <c r="Q146" s="5">
        <v>653.9</v>
      </c>
      <c r="R146" s="5">
        <v>118.9</v>
      </c>
      <c r="S146" s="5">
        <v>356.6</v>
      </c>
      <c r="T146" s="3" t="s">
        <v>1125</v>
      </c>
      <c r="U146" s="6">
        <v>4.2</v>
      </c>
      <c r="V146" s="6">
        <v>1.5</v>
      </c>
      <c r="W146" s="6">
        <f>U146-V146</f>
        <v>2.7</v>
      </c>
      <c r="X146" s="6">
        <v>7.0</v>
      </c>
      <c r="Y146" s="4">
        <v>340.0</v>
      </c>
      <c r="Z146" s="6">
        <v>40.8</v>
      </c>
      <c r="AA146" s="6">
        <v>12.0</v>
      </c>
      <c r="AB146" s="3" t="s">
        <v>50</v>
      </c>
      <c r="AC146" s="5">
        <v>2082.2</v>
      </c>
      <c r="AD146" s="5">
        <v>207.5</v>
      </c>
      <c r="AE146" s="5">
        <f>AC146+AD146</f>
        <v>2289.7</v>
      </c>
      <c r="AF146" s="5">
        <v>1315.2</v>
      </c>
      <c r="AG146" s="5">
        <v>753.2</v>
      </c>
      <c r="AH146" s="5">
        <v>291.1</v>
      </c>
      <c r="AI146" s="3" t="s">
        <v>1101</v>
      </c>
      <c r="AJ146" s="3" t="s">
        <v>1102</v>
      </c>
      <c r="AK146" s="3" t="s">
        <v>125</v>
      </c>
      <c r="AL146" s="3" t="s">
        <v>1103</v>
      </c>
    </row>
    <row r="147" spans="8:8" ht="18.75" customHeight="1">
      <c r="A147" s="7" t="s">
        <v>1126</v>
      </c>
      <c r="B147" s="8" t="s">
        <v>1127</v>
      </c>
      <c r="C147" s="8" t="s">
        <v>1128</v>
      </c>
      <c r="D147" s="8" t="s">
        <v>1119</v>
      </c>
      <c r="E147" s="8" t="s">
        <v>1127</v>
      </c>
      <c r="F147" s="8" t="s">
        <v>1129</v>
      </c>
      <c r="G147" s="8" t="s">
        <v>1130</v>
      </c>
      <c r="H147" s="8" t="s">
        <v>805</v>
      </c>
      <c r="I147" s="9">
        <v>75.0</v>
      </c>
      <c r="J147" s="9">
        <v>1615.0</v>
      </c>
      <c r="K147" s="10">
        <v>1619.3</v>
      </c>
      <c r="L147" s="8" t="s">
        <v>377</v>
      </c>
      <c r="M147" s="8" t="s">
        <v>1131</v>
      </c>
      <c r="N147" s="8" t="s">
        <v>97</v>
      </c>
      <c r="O147" s="9">
        <v>96.0</v>
      </c>
      <c r="P147" s="10">
        <v>1052.5</v>
      </c>
      <c r="Q147" s="10">
        <v>323.9</v>
      </c>
      <c r="R147" s="11">
        <v>48.6</v>
      </c>
      <c r="S147" s="10">
        <v>194.3</v>
      </c>
      <c r="T147" s="8" t="s">
        <v>1132</v>
      </c>
      <c r="U147" s="11">
        <v>2.8</v>
      </c>
      <c r="V147" s="11">
        <v>1.2</v>
      </c>
      <c r="W147" s="11">
        <f>U147-V147</f>
        <v>1.5999999999999999</v>
      </c>
      <c r="X147" s="11">
        <v>15.0</v>
      </c>
      <c r="Y147" s="9">
        <v>45.0</v>
      </c>
      <c r="Z147" s="11">
        <v>28.8</v>
      </c>
      <c r="AA147" s="10">
        <v>64.0</v>
      </c>
      <c r="AB147" s="8" t="s">
        <v>50</v>
      </c>
      <c r="AC147" s="10">
        <v>1131.1</v>
      </c>
      <c r="AD147" s="10">
        <v>263.5</v>
      </c>
      <c r="AE147" s="10">
        <f>AC147+AD147</f>
        <v>1394.6</v>
      </c>
      <c r="AF147" s="10">
        <v>794.7</v>
      </c>
      <c r="AG147" s="10">
        <v>445.0</v>
      </c>
      <c r="AH147" s="10">
        <v>188.7</v>
      </c>
      <c r="AI147" s="8" t="s">
        <v>782</v>
      </c>
      <c r="AJ147" s="8" t="s">
        <v>783</v>
      </c>
      <c r="AK147" s="8" t="s">
        <v>229</v>
      </c>
      <c r="AL147" s="8" t="s">
        <v>784</v>
      </c>
    </row>
    <row r="148" spans="8:8" ht="18.75" customHeight="1">
      <c r="A148" s="2" t="s">
        <v>1133</v>
      </c>
      <c r="B148" s="3" t="s">
        <v>1134</v>
      </c>
      <c r="C148" s="3" t="s">
        <v>1135</v>
      </c>
      <c r="D148" s="3" t="s">
        <v>41</v>
      </c>
      <c r="E148" s="3" t="s">
        <v>213</v>
      </c>
      <c r="F148" s="3" t="s">
        <v>1136</v>
      </c>
      <c r="G148" s="3" t="s">
        <v>1137</v>
      </c>
      <c r="H148" s="3" t="s">
        <v>243</v>
      </c>
      <c r="I148" s="4">
        <v>165.0</v>
      </c>
      <c r="J148" s="4">
        <v>1285.0</v>
      </c>
      <c r="K148" s="5">
        <v>1279.0</v>
      </c>
      <c r="L148" s="3" t="s">
        <v>111</v>
      </c>
      <c r="M148" s="3" t="s">
        <v>217</v>
      </c>
      <c r="N148" s="3" t="s">
        <v>218</v>
      </c>
      <c r="O148" s="4">
        <v>77.0</v>
      </c>
      <c r="P148" s="5">
        <v>358.1</v>
      </c>
      <c r="Q148" s="5">
        <v>767.4</v>
      </c>
      <c r="R148" s="5">
        <v>64.0</v>
      </c>
      <c r="S148" s="5">
        <v>89.5</v>
      </c>
      <c r="T148" s="3" t="s">
        <v>1138</v>
      </c>
      <c r="U148" s="6">
        <v>12.8</v>
      </c>
      <c r="V148" s="6">
        <v>6.4</v>
      </c>
      <c r="W148" s="6">
        <f>U148-V148</f>
        <v>6.4</v>
      </c>
      <c r="X148" s="6">
        <v>11.0</v>
      </c>
      <c r="Y148" s="4">
        <v>220.0</v>
      </c>
      <c r="Z148" s="5">
        <v>194.7</v>
      </c>
      <c r="AA148" s="5">
        <v>88.5</v>
      </c>
      <c r="AB148" s="3" t="s">
        <v>106</v>
      </c>
      <c r="AC148" s="5">
        <v>929.6</v>
      </c>
      <c r="AD148" s="5">
        <v>644.2</v>
      </c>
      <c r="AE148" s="5">
        <f>AC148+AD148</f>
        <v>1573.8000000000002</v>
      </c>
      <c r="AF148" s="5">
        <v>436.8</v>
      </c>
      <c r="AG148" s="5">
        <v>978.6</v>
      </c>
      <c r="AH148" s="5">
        <v>191.4</v>
      </c>
      <c r="AI148" s="3" t="s">
        <v>319</v>
      </c>
      <c r="AJ148" s="3" t="s">
        <v>320</v>
      </c>
      <c r="AK148" s="3" t="s">
        <v>85</v>
      </c>
      <c r="AL148" s="3" t="s">
        <v>321</v>
      </c>
    </row>
    <row r="149" spans="8:8" ht="18.75" customHeight="1">
      <c r="A149" s="7" t="s">
        <v>1139</v>
      </c>
      <c r="B149" s="8" t="s">
        <v>39</v>
      </c>
      <c r="C149" s="8" t="s">
        <v>1140</v>
      </c>
      <c r="D149" s="8" t="s">
        <v>41</v>
      </c>
      <c r="E149" s="8" t="s">
        <v>42</v>
      </c>
      <c r="F149" s="8" t="s">
        <v>1141</v>
      </c>
      <c r="G149" s="8" t="s">
        <v>1142</v>
      </c>
      <c r="H149" s="8" t="s">
        <v>305</v>
      </c>
      <c r="I149" s="9">
        <v>145.0</v>
      </c>
      <c r="J149" s="9">
        <v>1145.0</v>
      </c>
      <c r="K149" s="10">
        <v>1131.3</v>
      </c>
      <c r="L149" s="8" t="s">
        <v>46</v>
      </c>
      <c r="M149" s="8" t="s">
        <v>70</v>
      </c>
      <c r="N149" s="8" t="s">
        <v>48</v>
      </c>
      <c r="O149" s="9">
        <v>69.0</v>
      </c>
      <c r="P149" s="10">
        <v>791.9</v>
      </c>
      <c r="Q149" s="10">
        <v>226.3</v>
      </c>
      <c r="R149" s="11">
        <v>22.6</v>
      </c>
      <c r="S149" s="10">
        <v>90.5</v>
      </c>
      <c r="T149" s="8" t="s">
        <v>1143</v>
      </c>
      <c r="U149" s="11">
        <v>16.5</v>
      </c>
      <c r="V149" s="11">
        <v>9.8</v>
      </c>
      <c r="W149" s="11">
        <f>U149-V149</f>
        <v>6.699999999999999</v>
      </c>
      <c r="X149" s="11">
        <v>10.5</v>
      </c>
      <c r="Y149" s="9">
        <v>1680.0</v>
      </c>
      <c r="Z149" s="10">
        <v>1142.4</v>
      </c>
      <c r="AA149" s="10">
        <v>68.0</v>
      </c>
      <c r="AB149" s="8" t="s">
        <v>50</v>
      </c>
      <c r="AC149" s="10">
        <v>788.5</v>
      </c>
      <c r="AD149" s="10">
        <v>772.5</v>
      </c>
      <c r="AE149" s="10">
        <f>AC149+AD149</f>
        <v>1561.0</v>
      </c>
      <c r="AF149" s="10">
        <v>770.3</v>
      </c>
      <c r="AG149" s="10">
        <v>638.1</v>
      </c>
      <c r="AH149" s="10">
        <v>217.8</v>
      </c>
      <c r="AI149" s="8" t="s">
        <v>1101</v>
      </c>
      <c r="AJ149" s="8" t="s">
        <v>1102</v>
      </c>
      <c r="AK149" s="8" t="s">
        <v>125</v>
      </c>
      <c r="AL149" s="8" t="s">
        <v>1103</v>
      </c>
    </row>
    <row r="150" spans="8:8" ht="18.75" customHeight="1">
      <c r="A150" s="2" t="s">
        <v>1144</v>
      </c>
      <c r="B150" s="3" t="s">
        <v>39</v>
      </c>
      <c r="C150" s="3" t="s">
        <v>1145</v>
      </c>
      <c r="D150" s="3" t="s">
        <v>101</v>
      </c>
      <c r="E150" s="3" t="s">
        <v>117</v>
      </c>
      <c r="F150" s="3" t="s">
        <v>1146</v>
      </c>
      <c r="G150" s="3" t="s">
        <v>1147</v>
      </c>
      <c r="H150" s="3" t="s">
        <v>143</v>
      </c>
      <c r="I150" s="4">
        <v>105.0</v>
      </c>
      <c r="J150" s="4">
        <v>625.0</v>
      </c>
      <c r="K150" s="5">
        <v>620.8</v>
      </c>
      <c r="L150" s="3" t="s">
        <v>1148</v>
      </c>
      <c r="M150" s="3" t="s">
        <v>163</v>
      </c>
      <c r="N150" s="3" t="s">
        <v>48</v>
      </c>
      <c r="O150" s="4">
        <v>38.0</v>
      </c>
      <c r="P150" s="5">
        <v>335.2</v>
      </c>
      <c r="Q150" s="5">
        <v>211.1</v>
      </c>
      <c r="R150" s="6">
        <v>12.4</v>
      </c>
      <c r="S150" s="5">
        <v>62.1</v>
      </c>
      <c r="T150" s="3" t="s">
        <v>1149</v>
      </c>
      <c r="U150" s="6">
        <v>26.8</v>
      </c>
      <c r="V150" s="6">
        <v>18.5</v>
      </c>
      <c r="W150" s="6">
        <f>U150-V150</f>
        <v>8.3</v>
      </c>
      <c r="X150" s="6">
        <v>2.8</v>
      </c>
      <c r="Y150" s="4">
        <v>1120.0</v>
      </c>
      <c r="Z150" s="5">
        <v>1192.8</v>
      </c>
      <c r="AA150" s="5">
        <v>106.5</v>
      </c>
      <c r="AB150" s="3" t="s">
        <v>238</v>
      </c>
      <c r="AC150" s="5">
        <v>439.0</v>
      </c>
      <c r="AD150" s="5">
        <v>99.2</v>
      </c>
      <c r="AE150" s="5">
        <f>AC150+AD150</f>
        <v>538.2</v>
      </c>
      <c r="AF150" s="5">
        <v>257.7</v>
      </c>
      <c r="AG150" s="5">
        <v>238.2</v>
      </c>
      <c r="AH150" s="5">
        <v>63.3</v>
      </c>
      <c r="AI150" s="3" t="s">
        <v>700</v>
      </c>
      <c r="AJ150" s="3" t="s">
        <v>701</v>
      </c>
      <c r="AK150" s="3" t="s">
        <v>229</v>
      </c>
      <c r="AL150" s="3" t="s">
        <v>702</v>
      </c>
    </row>
    <row r="151" spans="8:8" ht="18.75" customHeight="1">
      <c r="A151" s="7" t="s">
        <v>1150</v>
      </c>
      <c r="B151" s="8" t="s">
        <v>39</v>
      </c>
      <c r="C151" s="8" t="s">
        <v>1151</v>
      </c>
      <c r="D151" s="8" t="s">
        <v>41</v>
      </c>
      <c r="E151" s="8" t="s">
        <v>42</v>
      </c>
      <c r="F151" s="8" t="s">
        <v>1152</v>
      </c>
      <c r="G151" s="8" t="s">
        <v>1153</v>
      </c>
      <c r="H151" s="8" t="s">
        <v>216</v>
      </c>
      <c r="I151" s="9">
        <v>155.0</v>
      </c>
      <c r="J151" s="9">
        <v>1065.0</v>
      </c>
      <c r="K151" s="10">
        <v>1050.1</v>
      </c>
      <c r="L151" s="8" t="s">
        <v>1154</v>
      </c>
      <c r="M151" s="8" t="s">
        <v>217</v>
      </c>
      <c r="N151" s="8" t="s">
        <v>218</v>
      </c>
      <c r="O151" s="9">
        <v>65.0</v>
      </c>
      <c r="P151" s="10">
        <v>357.0</v>
      </c>
      <c r="Q151" s="10">
        <v>588.1</v>
      </c>
      <c r="R151" s="11">
        <v>42.0</v>
      </c>
      <c r="S151" s="10">
        <v>63.0</v>
      </c>
      <c r="T151" s="8" t="s">
        <v>1155</v>
      </c>
      <c r="U151" s="11">
        <v>7.8</v>
      </c>
      <c r="V151" s="11">
        <v>3.2</v>
      </c>
      <c r="W151" s="11">
        <f>U151-V151</f>
        <v>4.6</v>
      </c>
      <c r="X151" s="11">
        <v>10.0</v>
      </c>
      <c r="Y151" s="9">
        <v>1950.0</v>
      </c>
      <c r="Z151" s="10">
        <v>1014.0</v>
      </c>
      <c r="AA151" s="10">
        <v>52.0</v>
      </c>
      <c r="AB151" s="8" t="s">
        <v>50</v>
      </c>
      <c r="AC151" s="10">
        <v>759.5</v>
      </c>
      <c r="AD151" s="10">
        <v>505.1</v>
      </c>
      <c r="AE151" s="10">
        <f>AC151+AD151</f>
        <v>1264.6</v>
      </c>
      <c r="AF151" s="10">
        <v>394.3</v>
      </c>
      <c r="AG151" s="10">
        <v>756.2</v>
      </c>
      <c r="AH151" s="10">
        <v>145.1</v>
      </c>
      <c r="AI151" s="8" t="s">
        <v>245</v>
      </c>
      <c r="AJ151" s="8" t="s">
        <v>246</v>
      </c>
      <c r="AK151" s="8" t="s">
        <v>85</v>
      </c>
      <c r="AL151" s="8" t="s">
        <v>247</v>
      </c>
    </row>
  </sheetData>
  <pageMargins left="0.75" right="0.75" top="1.0" bottom="1.0" header="0.511811023622047" footer="0.511811023622047"/>
  <pageSetup paperSize="1" orientation="landscape"/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D151"/>
  <sheetViews>
    <sheetView workbookViewId="0">
      <selection activeCell="A1" sqref="A1"/>
    </sheetView>
  </sheetViews>
  <sheetFormatPr defaultRowHeight="15.0" zeroHeight="1"/>
  <cols>
    <col min="1" max="1" customWidth="1" width="12.0" style="0"/>
    <col min="2" max="2" customWidth="1" width="20.0" style="0"/>
    <col min="3" max="4" customWidth="1" width="38.0" style="0"/>
    <col min="5" max="5" customWidth="1" width="20.0" style="0"/>
    <col min="6" max="20" customWidth="1" width="15.0" style="0"/>
    <col min="21" max="23" customWidth="1" width="23.0" style="0"/>
    <col min="24" max="24" customWidth="1" width="17.0" style="0"/>
    <col min="25" max="25" customWidth="1" width="18.0" style="0"/>
    <col min="26" max="26" customWidth="1" width="25.0" style="0"/>
    <col min="27" max="27" customWidth="1" width="26.0" style="0"/>
    <col min="28" max="28" customWidth="1" width="25.0" style="0"/>
    <col min="29" max="29" customWidth="1" width="38.0" style="0"/>
  </cols>
  <sheetData>
    <row r="1" spans="8:8" ht="24.75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9</v>
      </c>
      <c r="F1" s="1" t="s">
        <v>1156</v>
      </c>
      <c r="G1" s="1" t="s">
        <v>1157</v>
      </c>
      <c r="H1" s="1" t="s">
        <v>1158</v>
      </c>
      <c r="I1" s="1" t="s">
        <v>1159</v>
      </c>
      <c r="J1" s="1" t="s">
        <v>1160</v>
      </c>
      <c r="K1" s="1" t="s">
        <v>1161</v>
      </c>
      <c r="L1" s="1" t="s">
        <v>1162</v>
      </c>
      <c r="M1" s="1" t="s">
        <v>1163</v>
      </c>
      <c r="N1" s="1" t="s">
        <v>1164</v>
      </c>
      <c r="O1" s="1" t="s">
        <v>1165</v>
      </c>
      <c r="P1" s="1" t="s">
        <v>1166</v>
      </c>
      <c r="Q1" s="1" t="s">
        <v>1167</v>
      </c>
      <c r="R1" s="1" t="s">
        <v>1168</v>
      </c>
      <c r="S1" s="1" t="s">
        <v>1169</v>
      </c>
      <c r="T1" s="1" t="s">
        <v>1170</v>
      </c>
      <c r="U1" s="1" t="s">
        <v>1171</v>
      </c>
      <c r="V1" s="1" t="s">
        <v>1172</v>
      </c>
      <c r="W1" s="1" t="s">
        <v>1173</v>
      </c>
      <c r="X1" s="1" t="s">
        <v>1174</v>
      </c>
      <c r="Y1" s="1" t="s">
        <v>1175</v>
      </c>
      <c r="Z1" s="1" t="s">
        <v>1176</v>
      </c>
      <c r="AA1" s="1" t="s">
        <v>1177</v>
      </c>
      <c r="AB1" s="1" t="s">
        <v>1178</v>
      </c>
      <c r="AC1" s="1" t="s">
        <v>1179</v>
      </c>
    </row>
    <row r="2" spans="8:8" ht="18.75" customHeight="1">
      <c r="A2" s="2" t="s">
        <v>38</v>
      </c>
      <c r="B2" s="3" t="s">
        <v>39</v>
      </c>
      <c r="C2" s="3" t="s">
        <v>40</v>
      </c>
      <c r="D2" s="3" t="s">
        <v>42</v>
      </c>
      <c r="E2" s="4">
        <v>1085.0</v>
      </c>
      <c r="F2" s="5">
        <v>1193.5</v>
      </c>
      <c r="G2" s="5">
        <v>1009.1</v>
      </c>
      <c r="H2" s="5">
        <v>1085.0</v>
      </c>
      <c r="I2" s="5">
        <v>998.2</v>
      </c>
      <c r="J2" s="5">
        <v>900.5</v>
      </c>
      <c r="K2" s="5">
        <v>976.5</v>
      </c>
      <c r="L2" s="5">
        <v>1095.8</v>
      </c>
      <c r="M2" s="5">
        <v>954.8</v>
      </c>
      <c r="N2" s="5">
        <v>1291.2</v>
      </c>
      <c r="O2" s="5">
        <v>1204.4</v>
      </c>
      <c r="P2" s="5">
        <v>1041.6</v>
      </c>
      <c r="Q2" s="5">
        <v>1226.1</v>
      </c>
      <c r="R2" s="5">
        <v>1009.1</v>
      </c>
      <c r="S2" s="5">
        <v>1095.8</v>
      </c>
      <c r="T2" s="5">
        <v>1226.1</v>
      </c>
      <c r="U2" s="5">
        <f>ROUND(AVERAGE(F2:T2),1)</f>
        <v>1087.2</v>
      </c>
      <c r="V2" s="5">
        <f>MIN(F2:T2)</f>
        <v>900.5</v>
      </c>
      <c r="W2" s="5">
        <f>MAX(F2:T2)</f>
        <v>1291.2</v>
      </c>
      <c r="X2" s="12">
        <f>ROUND(STDEV(F2:T2),1)</f>
        <v>117.2</v>
      </c>
      <c r="Y2" s="12">
        <f>ROUND(X2/U2*100,1)</f>
        <v>10.8</v>
      </c>
      <c r="Z2" s="12">
        <f>ROUND((U2-E2)/E2*100,1)</f>
        <v>0.2</v>
      </c>
      <c r="AA2" s="4">
        <v>0.0</v>
      </c>
      <c r="AB2" s="4">
        <v>1.0</v>
      </c>
      <c r="AC2" s="3" t="s">
        <v>46</v>
      </c>
    </row>
    <row r="3" spans="8:8" ht="18.75" customHeight="1">
      <c r="A3" s="7" t="s">
        <v>55</v>
      </c>
      <c r="B3" s="8" t="s">
        <v>39</v>
      </c>
      <c r="C3" s="8" t="s">
        <v>56</v>
      </c>
      <c r="D3" s="8" t="s">
        <v>42</v>
      </c>
      <c r="E3" s="9">
        <v>1120.0</v>
      </c>
      <c r="F3" s="10">
        <v>1209.6</v>
      </c>
      <c r="G3" s="10">
        <v>1019.2</v>
      </c>
      <c r="H3" s="10">
        <v>1097.6</v>
      </c>
      <c r="I3" s="10">
        <v>1008.0</v>
      </c>
      <c r="J3" s="10">
        <v>907.2</v>
      </c>
      <c r="K3" s="10">
        <v>1198.4</v>
      </c>
      <c r="L3" s="10">
        <v>1108.8</v>
      </c>
      <c r="M3" s="10">
        <v>963.2</v>
      </c>
      <c r="N3" s="10">
        <v>1310.4</v>
      </c>
      <c r="O3" s="10">
        <v>1220.8</v>
      </c>
      <c r="P3" s="10">
        <v>1052.8</v>
      </c>
      <c r="Q3" s="10">
        <v>1243.2</v>
      </c>
      <c r="R3" s="10">
        <v>1019.2</v>
      </c>
      <c r="S3" s="10">
        <v>1108.8</v>
      </c>
      <c r="T3" s="10">
        <v>1243.2</v>
      </c>
      <c r="U3" s="10">
        <f>ROUND(AVERAGE(F3:T3),1)</f>
        <v>1114.0</v>
      </c>
      <c r="V3" s="10">
        <f>MIN(F3:T3)</f>
        <v>907.2</v>
      </c>
      <c r="W3" s="10">
        <f>MAX(F3:T3)</f>
        <v>1310.4</v>
      </c>
      <c r="X3" s="13">
        <f>ROUND(STDEV(F3:T3),1)</f>
        <v>119.0</v>
      </c>
      <c r="Y3" s="13">
        <f>ROUND(X3/U3*100,1)</f>
        <v>10.7</v>
      </c>
      <c r="Z3" s="13">
        <f>ROUND((U3-E3)/E3*100,1)</f>
        <v>-0.5</v>
      </c>
      <c r="AA3" s="9">
        <v>0.0</v>
      </c>
      <c r="AB3" s="9">
        <v>1.0</v>
      </c>
      <c r="AC3" s="8" t="s">
        <v>46</v>
      </c>
    </row>
    <row r="4" spans="8:8" ht="18.75" customHeight="1">
      <c r="A4" s="2" t="s">
        <v>65</v>
      </c>
      <c r="B4" s="3" t="s">
        <v>39</v>
      </c>
      <c r="C4" s="3" t="s">
        <v>66</v>
      </c>
      <c r="D4" s="3" t="s">
        <v>42</v>
      </c>
      <c r="E4" s="4">
        <v>1160.0</v>
      </c>
      <c r="F4" s="5">
        <v>1229.6</v>
      </c>
      <c r="G4" s="5">
        <v>1032.4</v>
      </c>
      <c r="H4" s="5">
        <v>1334.0</v>
      </c>
      <c r="I4" s="5">
        <v>1020.8</v>
      </c>
      <c r="J4" s="5">
        <v>916.4</v>
      </c>
      <c r="K4" s="5">
        <v>1218.0</v>
      </c>
      <c r="L4" s="5">
        <v>1125.2</v>
      </c>
      <c r="M4" s="5">
        <v>974.4</v>
      </c>
      <c r="N4" s="5">
        <v>1334.0</v>
      </c>
      <c r="O4" s="5">
        <v>1241.2</v>
      </c>
      <c r="P4" s="5">
        <v>1067.2</v>
      </c>
      <c r="Q4" s="5">
        <v>1264.4</v>
      </c>
      <c r="R4" s="5">
        <v>1032.4</v>
      </c>
      <c r="S4" s="5">
        <v>1345.6</v>
      </c>
      <c r="T4" s="5">
        <v>1264.4</v>
      </c>
      <c r="U4" s="5">
        <f>ROUND(AVERAGE(F4:T4),1)</f>
        <v>1160.0</v>
      </c>
      <c r="V4" s="5">
        <f>MIN(F4:T4)</f>
        <v>916.4</v>
      </c>
      <c r="W4" s="5">
        <f>MAX(F4:T4)</f>
        <v>1345.6</v>
      </c>
      <c r="X4" s="12">
        <f>ROUND(STDEV(F4:T4),1)</f>
        <v>143.2</v>
      </c>
      <c r="Y4" s="12">
        <f>ROUND(X4/U4*100,1)</f>
        <v>12.3</v>
      </c>
      <c r="Z4" s="12">
        <f>ROUND((U4-E4)/E4*100,1)</f>
        <v>0.0</v>
      </c>
      <c r="AA4" s="4">
        <v>1.0</v>
      </c>
      <c r="AB4" s="4">
        <v>1.0</v>
      </c>
      <c r="AC4" s="3" t="s">
        <v>46</v>
      </c>
    </row>
    <row r="5" spans="8:8" ht="18.75" customHeight="1">
      <c r="A5" s="7" t="s">
        <v>77</v>
      </c>
      <c r="B5" s="8" t="s">
        <v>39</v>
      </c>
      <c r="C5" s="8" t="s">
        <v>78</v>
      </c>
      <c r="D5" s="8" t="s">
        <v>42</v>
      </c>
      <c r="E5" s="9">
        <v>1095.0</v>
      </c>
      <c r="F5" s="10">
        <v>1138.8</v>
      </c>
      <c r="G5" s="10">
        <v>952.6</v>
      </c>
      <c r="H5" s="10">
        <v>1237.4</v>
      </c>
      <c r="I5" s="10">
        <v>941.7</v>
      </c>
      <c r="J5" s="10">
        <v>843.1</v>
      </c>
      <c r="K5" s="10">
        <v>1127.9</v>
      </c>
      <c r="L5" s="10">
        <v>1040.2</v>
      </c>
      <c r="M5" s="10">
        <v>897.9</v>
      </c>
      <c r="N5" s="10">
        <v>1237.4</v>
      </c>
      <c r="O5" s="10">
        <v>1149.8</v>
      </c>
      <c r="P5" s="10">
        <v>1193.6</v>
      </c>
      <c r="Q5" s="10">
        <v>1171.7</v>
      </c>
      <c r="R5" s="10">
        <v>952.7</v>
      </c>
      <c r="S5" s="10">
        <v>1248.3</v>
      </c>
      <c r="T5" s="10">
        <v>1171.7</v>
      </c>
      <c r="U5" s="10">
        <f>ROUND(AVERAGE(F5:T5),1)</f>
        <v>1087.0</v>
      </c>
      <c r="V5" s="10">
        <f>MIN(F5:T5)</f>
        <v>843.1</v>
      </c>
      <c r="W5" s="10">
        <f>MAX(F5:T5)</f>
        <v>1248.3</v>
      </c>
      <c r="X5" s="13">
        <f>ROUND(STDEV(F5:T5),1)</f>
        <v>136.3</v>
      </c>
      <c r="Y5" s="13">
        <f>ROUND(X5/U5*100,1)</f>
        <v>12.5</v>
      </c>
      <c r="Z5" s="13">
        <f>ROUND((U5-E5)/E5*100,1)</f>
        <v>-0.7</v>
      </c>
      <c r="AA5" s="9">
        <v>1.0</v>
      </c>
      <c r="AB5" s="9">
        <v>0.0</v>
      </c>
      <c r="AC5" s="8" t="s">
        <v>46</v>
      </c>
    </row>
    <row r="6" spans="8:8" ht="18.75" customHeight="1">
      <c r="A6" s="2" t="s">
        <v>87</v>
      </c>
      <c r="B6" s="3" t="s">
        <v>39</v>
      </c>
      <c r="C6" s="3" t="s">
        <v>88</v>
      </c>
      <c r="D6" s="3" t="s">
        <v>42</v>
      </c>
      <c r="E6" s="4">
        <v>1010.0</v>
      </c>
      <c r="F6" s="5">
        <v>1030.2</v>
      </c>
      <c r="G6" s="5">
        <v>858.5</v>
      </c>
      <c r="H6" s="5">
        <v>1121.1</v>
      </c>
      <c r="I6" s="5">
        <v>848.4</v>
      </c>
      <c r="J6" s="5">
        <v>757.5</v>
      </c>
      <c r="K6" s="5">
        <v>1020.1</v>
      </c>
      <c r="L6" s="5">
        <v>939.3</v>
      </c>
      <c r="M6" s="5">
        <v>999.9</v>
      </c>
      <c r="N6" s="5">
        <v>1121.1</v>
      </c>
      <c r="O6" s="5">
        <v>1040.3</v>
      </c>
      <c r="P6" s="5">
        <v>1080.7</v>
      </c>
      <c r="Q6" s="5">
        <v>1060.5</v>
      </c>
      <c r="R6" s="5">
        <v>858.5</v>
      </c>
      <c r="S6" s="5">
        <v>1131.2</v>
      </c>
      <c r="T6" s="5">
        <v>1060.5</v>
      </c>
      <c r="U6" s="5">
        <f>ROUND(AVERAGE(F6:T6),1)</f>
        <v>995.2</v>
      </c>
      <c r="V6" s="5">
        <f>MIN(F6:T6)</f>
        <v>757.5</v>
      </c>
      <c r="W6" s="5">
        <f>MAX(F6:T6)</f>
        <v>1131.2</v>
      </c>
      <c r="X6" s="12">
        <f>ROUND(STDEV(F6:T6),1)</f>
        <v>116.0</v>
      </c>
      <c r="Y6" s="12">
        <f>ROUND(X6/U6*100,1)</f>
        <v>11.7</v>
      </c>
      <c r="Z6" s="12">
        <f>ROUND((U6-E6)/E6*100,1)</f>
        <v>-1.5</v>
      </c>
      <c r="AA6" s="4">
        <v>1.0</v>
      </c>
      <c r="AB6" s="4">
        <v>0.0</v>
      </c>
      <c r="AC6" s="3" t="s">
        <v>46</v>
      </c>
    </row>
    <row r="7" spans="8:8" ht="18.75" customHeight="1">
      <c r="A7" s="7" t="s">
        <v>93</v>
      </c>
      <c r="B7" s="8" t="s">
        <v>39</v>
      </c>
      <c r="C7" s="8" t="s">
        <v>94</v>
      </c>
      <c r="D7" s="8" t="s">
        <v>42</v>
      </c>
      <c r="E7" s="9">
        <v>925.0</v>
      </c>
      <c r="F7" s="10">
        <v>925.0</v>
      </c>
      <c r="G7" s="10">
        <v>767.8</v>
      </c>
      <c r="H7" s="10">
        <v>1008.3</v>
      </c>
      <c r="I7" s="10">
        <v>758.5</v>
      </c>
      <c r="J7" s="10">
        <v>851.0</v>
      </c>
      <c r="K7" s="10">
        <v>915.8</v>
      </c>
      <c r="L7" s="10">
        <v>841.7</v>
      </c>
      <c r="M7" s="10">
        <v>897.2</v>
      </c>
      <c r="N7" s="10">
        <v>1008.3</v>
      </c>
      <c r="O7" s="10">
        <v>934.2</v>
      </c>
      <c r="P7" s="10">
        <v>971.2</v>
      </c>
      <c r="Q7" s="10">
        <v>952.8</v>
      </c>
      <c r="R7" s="10">
        <v>943.5</v>
      </c>
      <c r="S7" s="10">
        <v>1017.5</v>
      </c>
      <c r="T7" s="10">
        <v>952.8</v>
      </c>
      <c r="U7" s="10">
        <f>ROUND(AVERAGE(F7:T7),1)</f>
        <v>916.4</v>
      </c>
      <c r="V7" s="10">
        <f>MIN(F7:T7)</f>
        <v>758.5</v>
      </c>
      <c r="W7" s="10">
        <f>MAX(F7:T7)</f>
        <v>1017.5</v>
      </c>
      <c r="X7" s="13">
        <f>ROUND(STDEV(F7:T7),1)</f>
        <v>80.7</v>
      </c>
      <c r="Y7" s="13">
        <f>ROUND(X7/U7*100,1)</f>
        <v>8.8</v>
      </c>
      <c r="Z7" s="13">
        <f>ROUND((U7-E7)/E7*100,1)</f>
        <v>-0.9</v>
      </c>
      <c r="AA7" s="9">
        <v>0.0</v>
      </c>
      <c r="AB7" s="9">
        <v>0.0</v>
      </c>
      <c r="AC7" s="8" t="s">
        <v>46</v>
      </c>
    </row>
    <row r="8" spans="8:8" ht="18.75" customHeight="1">
      <c r="A8" s="2" t="s">
        <v>99</v>
      </c>
      <c r="B8" s="3" t="s">
        <v>39</v>
      </c>
      <c r="C8" s="3" t="s">
        <v>100</v>
      </c>
      <c r="D8" s="3" t="s">
        <v>42</v>
      </c>
      <c r="E8" s="4">
        <v>780.0</v>
      </c>
      <c r="F8" s="5">
        <v>764.4</v>
      </c>
      <c r="G8" s="5">
        <v>780.0</v>
      </c>
      <c r="H8" s="5">
        <v>834.6</v>
      </c>
      <c r="I8" s="5">
        <v>624.0</v>
      </c>
      <c r="J8" s="5">
        <v>702.0</v>
      </c>
      <c r="K8" s="5">
        <v>756.6</v>
      </c>
      <c r="L8" s="5">
        <v>694.2</v>
      </c>
      <c r="M8" s="5">
        <v>741.0</v>
      </c>
      <c r="N8" s="5">
        <v>834.6</v>
      </c>
      <c r="O8" s="5">
        <v>920.4</v>
      </c>
      <c r="P8" s="5">
        <v>803.4</v>
      </c>
      <c r="Q8" s="5">
        <v>787.8</v>
      </c>
      <c r="R8" s="5">
        <v>780.0</v>
      </c>
      <c r="S8" s="5">
        <v>842.4</v>
      </c>
      <c r="T8" s="5">
        <v>787.8</v>
      </c>
      <c r="U8" s="5">
        <f>ROUND(AVERAGE(F8:T8),1)</f>
        <v>776.9</v>
      </c>
      <c r="V8" s="5">
        <f>MIN(F8:T8)</f>
        <v>624.0</v>
      </c>
      <c r="W8" s="5">
        <f>MAX(F8:T8)</f>
        <v>920.4</v>
      </c>
      <c r="X8" s="12">
        <f>ROUND(STDEV(F8:T8),1)</f>
        <v>70.8</v>
      </c>
      <c r="Y8" s="12">
        <f>ROUND(X8/U8*100,1)</f>
        <v>9.1</v>
      </c>
      <c r="Z8" s="12">
        <f>ROUND((U8-E8)/E8*100,1)</f>
        <v>-0.4</v>
      </c>
      <c r="AA8" s="4">
        <v>0.0</v>
      </c>
      <c r="AB8" s="4">
        <v>1.0</v>
      </c>
      <c r="AC8" s="3" t="s">
        <v>46</v>
      </c>
    </row>
    <row r="9" spans="8:8" ht="18.75" customHeight="1">
      <c r="A9" s="7" t="s">
        <v>107</v>
      </c>
      <c r="B9" s="8" t="s">
        <v>39</v>
      </c>
      <c r="C9" s="8" t="s">
        <v>108</v>
      </c>
      <c r="D9" s="8" t="s">
        <v>42</v>
      </c>
      <c r="E9" s="9">
        <v>995.0</v>
      </c>
      <c r="F9" s="10">
        <v>955.2</v>
      </c>
      <c r="G9" s="10">
        <v>975.1</v>
      </c>
      <c r="H9" s="10">
        <v>1044.8</v>
      </c>
      <c r="I9" s="10">
        <v>776.1</v>
      </c>
      <c r="J9" s="10">
        <v>875.6</v>
      </c>
      <c r="K9" s="10">
        <v>945.2</v>
      </c>
      <c r="L9" s="10">
        <v>1054.7</v>
      </c>
      <c r="M9" s="10">
        <v>925.4</v>
      </c>
      <c r="N9" s="10">
        <v>1044.8</v>
      </c>
      <c r="O9" s="10">
        <v>1154.2</v>
      </c>
      <c r="P9" s="10">
        <v>1005.0</v>
      </c>
      <c r="Q9" s="10">
        <v>985.0</v>
      </c>
      <c r="R9" s="10">
        <v>975.1</v>
      </c>
      <c r="S9" s="10">
        <v>1054.7</v>
      </c>
      <c r="T9" s="10">
        <v>985.1</v>
      </c>
      <c r="U9" s="10">
        <f>ROUND(AVERAGE(F9:T9),1)</f>
        <v>983.7</v>
      </c>
      <c r="V9" s="10">
        <f>MIN(F9:T9)</f>
        <v>776.1</v>
      </c>
      <c r="W9" s="10">
        <f>MAX(F9:T9)</f>
        <v>1154.2</v>
      </c>
      <c r="X9" s="13">
        <f>ROUND(STDEV(F9:T9),1)</f>
        <v>87.7</v>
      </c>
      <c r="Y9" s="13">
        <f>ROUND(X9/U9*100,1)</f>
        <v>8.9</v>
      </c>
      <c r="Z9" s="13">
        <f>ROUND((U9-E9)/E9*100,1)</f>
        <v>-1.1</v>
      </c>
      <c r="AA9" s="9">
        <v>1.0</v>
      </c>
      <c r="AB9" s="9">
        <v>1.0</v>
      </c>
      <c r="AC9" s="8" t="s">
        <v>111</v>
      </c>
    </row>
    <row r="10" spans="8:8" ht="18.75" customHeight="1">
      <c r="A10" s="2" t="s">
        <v>115</v>
      </c>
      <c r="B10" s="3" t="s">
        <v>39</v>
      </c>
      <c r="C10" s="3" t="s">
        <v>116</v>
      </c>
      <c r="D10" s="3" t="s">
        <v>117</v>
      </c>
      <c r="E10" s="4">
        <v>910.0</v>
      </c>
      <c r="F10" s="5">
        <v>855.4</v>
      </c>
      <c r="G10" s="5">
        <v>873.6</v>
      </c>
      <c r="H10" s="5">
        <v>937.3</v>
      </c>
      <c r="I10" s="5">
        <v>864.5</v>
      </c>
      <c r="J10" s="5">
        <v>782.6</v>
      </c>
      <c r="K10" s="5">
        <v>846.3</v>
      </c>
      <c r="L10" s="5">
        <v>946.4</v>
      </c>
      <c r="M10" s="5">
        <v>828.1</v>
      </c>
      <c r="N10" s="5">
        <v>937.3</v>
      </c>
      <c r="O10" s="5">
        <v>1037.4</v>
      </c>
      <c r="P10" s="5">
        <v>900.9</v>
      </c>
      <c r="Q10" s="5">
        <v>882.7</v>
      </c>
      <c r="R10" s="5">
        <v>873.6</v>
      </c>
      <c r="S10" s="5">
        <v>946.4</v>
      </c>
      <c r="T10" s="5">
        <v>1055.6</v>
      </c>
      <c r="U10" s="5">
        <f>ROUND(AVERAGE(F10:T10),1)</f>
        <v>904.5</v>
      </c>
      <c r="V10" s="5">
        <f>MIN(F10:T10)</f>
        <v>782.6</v>
      </c>
      <c r="W10" s="5">
        <f>MAX(F10:T10)</f>
        <v>1055.6</v>
      </c>
      <c r="X10" s="12">
        <f>ROUND(STDEV(F10:T10),1)</f>
        <v>74.0</v>
      </c>
      <c r="Y10" s="12">
        <f>ROUND(X10/U10*100,1)</f>
        <v>8.2</v>
      </c>
      <c r="Z10" s="12">
        <f>ROUND((U10-E10)/E10*100,1)</f>
        <v>-0.6</v>
      </c>
      <c r="AA10" s="4">
        <v>0.0</v>
      </c>
      <c r="AB10" s="4">
        <v>1.0</v>
      </c>
      <c r="AC10" s="3" t="s">
        <v>121</v>
      </c>
    </row>
    <row r="11" spans="8:8" ht="18.75" customHeight="1">
      <c r="A11" s="7" t="s">
        <v>127</v>
      </c>
      <c r="B11" s="8" t="s">
        <v>39</v>
      </c>
      <c r="C11" s="8" t="s">
        <v>128</v>
      </c>
      <c r="D11" s="8" t="s">
        <v>117</v>
      </c>
      <c r="E11" s="9">
        <v>645.0</v>
      </c>
      <c r="F11" s="10">
        <v>716.0</v>
      </c>
      <c r="G11" s="10">
        <v>606.3</v>
      </c>
      <c r="H11" s="10">
        <v>651.5</v>
      </c>
      <c r="I11" s="10">
        <v>599.8</v>
      </c>
      <c r="J11" s="10">
        <v>541.8</v>
      </c>
      <c r="K11" s="10">
        <v>586.9</v>
      </c>
      <c r="L11" s="10">
        <v>657.9</v>
      </c>
      <c r="M11" s="10">
        <v>574.0</v>
      </c>
      <c r="N11" s="10">
        <v>651.5</v>
      </c>
      <c r="O11" s="10">
        <v>722.4</v>
      </c>
      <c r="P11" s="10">
        <v>625.6</v>
      </c>
      <c r="Q11" s="10">
        <v>735.3</v>
      </c>
      <c r="R11" s="10">
        <v>606.3</v>
      </c>
      <c r="S11" s="10">
        <v>657.9</v>
      </c>
      <c r="T11" s="10">
        <v>735.3</v>
      </c>
      <c r="U11" s="10">
        <f>ROUND(AVERAGE(F11:T11),1)</f>
        <v>644.6</v>
      </c>
      <c r="V11" s="10">
        <f>MIN(F11:T11)</f>
        <v>541.8</v>
      </c>
      <c r="W11" s="10">
        <f>MAX(F11:T11)</f>
        <v>735.3</v>
      </c>
      <c r="X11" s="13">
        <f>ROUND(STDEV(F11:T11),1)</f>
        <v>61.1</v>
      </c>
      <c r="Y11" s="13">
        <f>ROUND(X11/U11*100,1)</f>
        <v>9.5</v>
      </c>
      <c r="Z11" s="13">
        <f>ROUND((U11-E11)/E11*100,1)</f>
        <v>-0.1</v>
      </c>
      <c r="AA11" s="9">
        <v>0.0</v>
      </c>
      <c r="AB11" s="9">
        <v>0.0</v>
      </c>
      <c r="AC11" s="8" t="s">
        <v>132</v>
      </c>
    </row>
    <row r="12" spans="8:8" ht="18.75" customHeight="1">
      <c r="A12" s="2" t="s">
        <v>139</v>
      </c>
      <c r="B12" s="3" t="s">
        <v>39</v>
      </c>
      <c r="C12" s="3" t="s">
        <v>140</v>
      </c>
      <c r="D12" s="3" t="s">
        <v>117</v>
      </c>
      <c r="E12" s="4">
        <v>552.0</v>
      </c>
      <c r="F12" s="5">
        <v>624.9</v>
      </c>
      <c r="G12" s="5">
        <v>507.8</v>
      </c>
      <c r="H12" s="5">
        <v>523.3</v>
      </c>
      <c r="I12" s="5">
        <v>518.9</v>
      </c>
      <c r="J12" s="5">
        <v>446.0</v>
      </c>
      <c r="K12" s="5">
        <v>461.5</v>
      </c>
      <c r="L12" s="5">
        <v>561.9</v>
      </c>
      <c r="M12" s="5">
        <v>467.0</v>
      </c>
      <c r="N12" s="5">
        <v>677.9</v>
      </c>
      <c r="O12" s="5">
        <v>610.5</v>
      </c>
      <c r="P12" s="5">
        <v>504.5</v>
      </c>
      <c r="Q12" s="5">
        <v>638.1</v>
      </c>
      <c r="R12" s="5">
        <v>504.5</v>
      </c>
      <c r="S12" s="5">
        <v>525.5</v>
      </c>
      <c r="T12" s="5">
        <v>631.5</v>
      </c>
      <c r="U12" s="5">
        <f>ROUND(AVERAGE(F12:T12),1)</f>
        <v>546.9</v>
      </c>
      <c r="V12" s="5">
        <f>MIN(F12:T12)</f>
        <v>446.0</v>
      </c>
      <c r="W12" s="5">
        <f>MAX(F12:T12)</f>
        <v>677.9</v>
      </c>
      <c r="X12" s="12">
        <f>ROUND(STDEV(F12:T12),1)</f>
        <v>72.6</v>
      </c>
      <c r="Y12" s="12">
        <f>ROUND(X12/U12*100,1)</f>
        <v>13.3</v>
      </c>
      <c r="Z12" s="12">
        <f>ROUND((U12-E12)/E12*100,1)</f>
        <v>-0.9</v>
      </c>
      <c r="AA12" s="4">
        <v>0.0</v>
      </c>
      <c r="AB12" s="4">
        <v>2.0</v>
      </c>
      <c r="AC12" s="3" t="s">
        <v>144</v>
      </c>
    </row>
    <row r="13" spans="8:8" ht="18.75" customHeight="1">
      <c r="A13" s="7" t="s">
        <v>148</v>
      </c>
      <c r="B13" s="8" t="s">
        <v>39</v>
      </c>
      <c r="C13" s="8" t="s">
        <v>149</v>
      </c>
      <c r="D13" s="8" t="s">
        <v>117</v>
      </c>
      <c r="E13" s="9">
        <v>695.0</v>
      </c>
      <c r="F13" s="10">
        <v>743.7</v>
      </c>
      <c r="G13" s="10">
        <v>625.5</v>
      </c>
      <c r="H13" s="10">
        <v>674.2</v>
      </c>
      <c r="I13" s="10">
        <v>618.5</v>
      </c>
      <c r="J13" s="10">
        <v>556.0</v>
      </c>
      <c r="K13" s="10">
        <v>736.7</v>
      </c>
      <c r="L13" s="10">
        <v>681.1</v>
      </c>
      <c r="M13" s="10">
        <v>590.8</v>
      </c>
      <c r="N13" s="10">
        <v>806.2</v>
      </c>
      <c r="O13" s="10">
        <v>750.6</v>
      </c>
      <c r="P13" s="10">
        <v>646.4</v>
      </c>
      <c r="Q13" s="10">
        <v>764.5</v>
      </c>
      <c r="R13" s="10">
        <v>625.5</v>
      </c>
      <c r="S13" s="10">
        <v>813.2</v>
      </c>
      <c r="T13" s="10">
        <v>764.5</v>
      </c>
      <c r="U13" s="10">
        <f>ROUND(AVERAGE(F13:T13),1)</f>
        <v>693.2</v>
      </c>
      <c r="V13" s="10">
        <f>MIN(F13:T13)</f>
        <v>556.0</v>
      </c>
      <c r="W13" s="10">
        <f>MAX(F13:T13)</f>
        <v>813.2</v>
      </c>
      <c r="X13" s="13">
        <f>ROUND(STDEV(F13:T13),1)</f>
        <v>81.0</v>
      </c>
      <c r="Y13" s="13">
        <f>ROUND(X13/U13*100,1)</f>
        <v>11.7</v>
      </c>
      <c r="Z13" s="13">
        <f>ROUND((U13-E13)/E13*100,1)</f>
        <v>-0.3</v>
      </c>
      <c r="AA13" s="9">
        <v>0.0</v>
      </c>
      <c r="AB13" s="9">
        <v>2.0</v>
      </c>
      <c r="AC13" s="8" t="s">
        <v>46</v>
      </c>
    </row>
    <row r="14" spans="8:8" ht="18.75" customHeight="1">
      <c r="A14" s="2" t="s">
        <v>157</v>
      </c>
      <c r="B14" s="3" t="s">
        <v>39</v>
      </c>
      <c r="C14" s="3" t="s">
        <v>158</v>
      </c>
      <c r="D14" s="3" t="s">
        <v>42</v>
      </c>
      <c r="E14" s="4">
        <v>1380.0</v>
      </c>
      <c r="F14" s="5">
        <v>1449.0</v>
      </c>
      <c r="G14" s="5">
        <v>1214.4</v>
      </c>
      <c r="H14" s="5">
        <v>1573.2</v>
      </c>
      <c r="I14" s="5">
        <v>1200.6</v>
      </c>
      <c r="J14" s="5">
        <v>1076.4</v>
      </c>
      <c r="K14" s="5">
        <v>1435.2</v>
      </c>
      <c r="L14" s="5">
        <v>1324.8</v>
      </c>
      <c r="M14" s="5">
        <v>1145.4</v>
      </c>
      <c r="N14" s="5">
        <v>1573.2</v>
      </c>
      <c r="O14" s="5">
        <v>1462.8</v>
      </c>
      <c r="P14" s="5">
        <v>1518.0</v>
      </c>
      <c r="Q14" s="5">
        <v>1490.4</v>
      </c>
      <c r="R14" s="5">
        <v>1214.4</v>
      </c>
      <c r="S14" s="5">
        <v>1587.0</v>
      </c>
      <c r="T14" s="5">
        <v>1490.4</v>
      </c>
      <c r="U14" s="5">
        <f>ROUND(AVERAGE(F14:T14),1)</f>
        <v>1383.7</v>
      </c>
      <c r="V14" s="5">
        <f>MIN(F14:T14)</f>
        <v>1076.4</v>
      </c>
      <c r="W14" s="5">
        <f>MAX(F14:T14)</f>
        <v>1587.0</v>
      </c>
      <c r="X14" s="12">
        <f>ROUND(STDEV(F14:T14),1)</f>
        <v>171.7</v>
      </c>
      <c r="Y14" s="12">
        <f>ROUND(X14/U14*100,1)</f>
        <v>12.4</v>
      </c>
      <c r="Z14" s="12">
        <f>ROUND((U14-E14)/E14*100,1)</f>
        <v>0.3</v>
      </c>
      <c r="AA14" s="4">
        <v>1.0</v>
      </c>
      <c r="AB14" s="4">
        <v>1.0</v>
      </c>
      <c r="AC14" s="3" t="s">
        <v>162</v>
      </c>
    </row>
    <row r="15" spans="8:8" ht="18.75" customHeight="1">
      <c r="A15" s="7" t="s">
        <v>166</v>
      </c>
      <c r="B15" s="8" t="s">
        <v>167</v>
      </c>
      <c r="C15" s="8" t="s">
        <v>168</v>
      </c>
      <c r="D15" s="8" t="s">
        <v>167</v>
      </c>
      <c r="E15" s="9">
        <v>1020.0</v>
      </c>
      <c r="F15" s="10">
        <v>1050.6</v>
      </c>
      <c r="G15" s="10">
        <v>877.2</v>
      </c>
      <c r="H15" s="10">
        <v>1142.4</v>
      </c>
      <c r="I15" s="10">
        <v>867.0</v>
      </c>
      <c r="J15" s="10">
        <v>775.2</v>
      </c>
      <c r="K15" s="10">
        <v>1040.4</v>
      </c>
      <c r="L15" s="10">
        <v>958.8</v>
      </c>
      <c r="M15" s="10">
        <v>1020.0</v>
      </c>
      <c r="N15" s="10">
        <v>1142.4</v>
      </c>
      <c r="O15" s="10">
        <v>1060.8</v>
      </c>
      <c r="P15" s="10">
        <v>1101.6</v>
      </c>
      <c r="Q15" s="10">
        <v>1081.2</v>
      </c>
      <c r="R15" s="10">
        <v>877.2</v>
      </c>
      <c r="S15" s="10">
        <v>1152.6</v>
      </c>
      <c r="T15" s="10">
        <v>1081.2</v>
      </c>
      <c r="U15" s="10">
        <f>ROUND(AVERAGE(F15:T15),1)</f>
        <v>1015.2</v>
      </c>
      <c r="V15" s="10">
        <f>MIN(F15:T15)</f>
        <v>775.2</v>
      </c>
      <c r="W15" s="10">
        <f>MAX(F15:T15)</f>
        <v>1152.6</v>
      </c>
      <c r="X15" s="13">
        <f>ROUND(STDEV(F15:T15),1)</f>
        <v>117.2</v>
      </c>
      <c r="Y15" s="13">
        <f>ROUND(X15/U15*100,1)</f>
        <v>11.5</v>
      </c>
      <c r="Z15" s="13">
        <f>ROUND((U15-E15)/E15*100,1)</f>
        <v>-0.5</v>
      </c>
      <c r="AA15" s="9">
        <v>1.0</v>
      </c>
      <c r="AB15" s="9">
        <v>0.0</v>
      </c>
      <c r="AC15" s="8" t="s">
        <v>171</v>
      </c>
    </row>
    <row r="16" spans="8:8" ht="18.75" customHeight="1">
      <c r="A16" s="2" t="s">
        <v>178</v>
      </c>
      <c r="B16" s="3" t="s">
        <v>167</v>
      </c>
      <c r="C16" s="3" t="s">
        <v>179</v>
      </c>
      <c r="D16" s="3" t="s">
        <v>167</v>
      </c>
      <c r="E16" s="4">
        <v>1110.0</v>
      </c>
      <c r="F16" s="5">
        <v>1121.1</v>
      </c>
      <c r="G16" s="5">
        <v>932.4</v>
      </c>
      <c r="H16" s="5">
        <v>1221.0</v>
      </c>
      <c r="I16" s="5">
        <v>921.3</v>
      </c>
      <c r="J16" s="5">
        <v>1032.3</v>
      </c>
      <c r="K16" s="5">
        <v>1110.0</v>
      </c>
      <c r="L16" s="5">
        <v>1021.2</v>
      </c>
      <c r="M16" s="5">
        <v>1087.8</v>
      </c>
      <c r="N16" s="5">
        <v>1221.0</v>
      </c>
      <c r="O16" s="5">
        <v>1132.2</v>
      </c>
      <c r="P16" s="5">
        <v>1176.6</v>
      </c>
      <c r="Q16" s="5">
        <v>1154.4</v>
      </c>
      <c r="R16" s="5">
        <v>932.4</v>
      </c>
      <c r="S16" s="5">
        <v>1232.1</v>
      </c>
      <c r="T16" s="5">
        <v>1154.4</v>
      </c>
      <c r="U16" s="5">
        <f>ROUND(AVERAGE(F16:T16),1)</f>
        <v>1096.7</v>
      </c>
      <c r="V16" s="5">
        <f>MIN(F16:T16)</f>
        <v>921.3</v>
      </c>
      <c r="W16" s="5">
        <f>MAX(F16:T16)</f>
        <v>1232.1</v>
      </c>
      <c r="X16" s="12">
        <f>ROUND(STDEV(F16:T16),1)</f>
        <v>106.6</v>
      </c>
      <c r="Y16" s="12">
        <f>ROUND(X16/U16*100,1)</f>
        <v>9.7</v>
      </c>
      <c r="Z16" s="12">
        <f>ROUND((U16-E16)/E16*100,1)</f>
        <v>-1.2</v>
      </c>
      <c r="AA16" s="4">
        <v>0.0</v>
      </c>
      <c r="AB16" s="4">
        <v>0.0</v>
      </c>
      <c r="AC16" s="3" t="s">
        <v>171</v>
      </c>
    </row>
    <row r="17" spans="8:8" ht="18.75" customHeight="1">
      <c r="A17" s="7" t="s">
        <v>185</v>
      </c>
      <c r="B17" s="8" t="s">
        <v>167</v>
      </c>
      <c r="C17" s="8" t="s">
        <v>186</v>
      </c>
      <c r="D17" s="8" t="s">
        <v>167</v>
      </c>
      <c r="E17" s="9">
        <v>1065.0</v>
      </c>
      <c r="F17" s="10">
        <v>1054.3</v>
      </c>
      <c r="G17" s="10">
        <v>1075.7</v>
      </c>
      <c r="H17" s="10">
        <v>1150.2</v>
      </c>
      <c r="I17" s="10">
        <v>862.6</v>
      </c>
      <c r="J17" s="10">
        <v>969.1</v>
      </c>
      <c r="K17" s="10">
        <v>1043.7</v>
      </c>
      <c r="L17" s="10">
        <v>958.5</v>
      </c>
      <c r="M17" s="10">
        <v>1022.4</v>
      </c>
      <c r="N17" s="10">
        <v>1150.2</v>
      </c>
      <c r="O17" s="10">
        <v>1065.0</v>
      </c>
      <c r="P17" s="10">
        <v>1107.6</v>
      </c>
      <c r="Q17" s="10">
        <v>1086.3</v>
      </c>
      <c r="R17" s="10">
        <v>1075.7</v>
      </c>
      <c r="S17" s="10">
        <v>1160.9</v>
      </c>
      <c r="T17" s="10">
        <v>1086.3</v>
      </c>
      <c r="U17" s="10">
        <f>ROUND(AVERAGE(F17:T17),1)</f>
        <v>1057.9</v>
      </c>
      <c r="V17" s="10">
        <f>MIN(F17:T17)</f>
        <v>862.6</v>
      </c>
      <c r="W17" s="10">
        <f>MAX(F17:T17)</f>
        <v>1160.9</v>
      </c>
      <c r="X17" s="13">
        <f>ROUND(STDEV(F17:T17),1)</f>
        <v>80.1</v>
      </c>
      <c r="Y17" s="13">
        <f>ROUND(X17/U17*100,1)</f>
        <v>7.6</v>
      </c>
      <c r="Z17" s="13">
        <f>ROUND((U17-E17)/E17*100,1)</f>
        <v>-0.7</v>
      </c>
      <c r="AA17" s="9">
        <v>0.0</v>
      </c>
      <c r="AB17" s="9">
        <v>0.0</v>
      </c>
      <c r="AC17" s="8" t="s">
        <v>132</v>
      </c>
    </row>
    <row r="18" spans="8:8" ht="18.75" customHeight="1">
      <c r="A18" s="2" t="s">
        <v>193</v>
      </c>
      <c r="B18" s="3" t="s">
        <v>167</v>
      </c>
      <c r="C18" s="3" t="s">
        <v>194</v>
      </c>
      <c r="D18" s="3" t="s">
        <v>167</v>
      </c>
      <c r="E18" s="4">
        <v>860.0</v>
      </c>
      <c r="F18" s="5">
        <v>834.2</v>
      </c>
      <c r="G18" s="5">
        <v>851.4</v>
      </c>
      <c r="H18" s="5">
        <v>911.6</v>
      </c>
      <c r="I18" s="5">
        <v>679.4</v>
      </c>
      <c r="J18" s="5">
        <v>765.4</v>
      </c>
      <c r="K18" s="5">
        <v>825.6</v>
      </c>
      <c r="L18" s="5">
        <v>756.8</v>
      </c>
      <c r="M18" s="5">
        <v>808.4</v>
      </c>
      <c r="N18" s="5">
        <v>911.6</v>
      </c>
      <c r="O18" s="5">
        <v>1006.2</v>
      </c>
      <c r="P18" s="5">
        <v>877.2</v>
      </c>
      <c r="Q18" s="5">
        <v>860.0</v>
      </c>
      <c r="R18" s="5">
        <v>851.4</v>
      </c>
      <c r="S18" s="5">
        <v>920.2</v>
      </c>
      <c r="T18" s="5">
        <v>860.0</v>
      </c>
      <c r="U18" s="5">
        <f>ROUND(AVERAGE(F18:T18),1)</f>
        <v>848.0</v>
      </c>
      <c r="V18" s="5">
        <f>MIN(F18:T18)</f>
        <v>679.4</v>
      </c>
      <c r="W18" s="5">
        <f>MAX(F18:T18)</f>
        <v>1006.2</v>
      </c>
      <c r="X18" s="12">
        <f>ROUND(STDEV(F18:T18),1)</f>
        <v>78.1</v>
      </c>
      <c r="Y18" s="12">
        <f>ROUND(X18/U18*100,1)</f>
        <v>9.2</v>
      </c>
      <c r="Z18" s="12">
        <f>ROUND((U18-E18)/E18*100,1)</f>
        <v>-1.4</v>
      </c>
      <c r="AA18" s="4">
        <v>1.0</v>
      </c>
      <c r="AB18" s="4">
        <v>1.0</v>
      </c>
      <c r="AC18" s="3" t="s">
        <v>171</v>
      </c>
    </row>
    <row r="19" spans="8:8" ht="18.75" customHeight="1">
      <c r="A19" s="7" t="s">
        <v>199</v>
      </c>
      <c r="B19" s="8" t="s">
        <v>167</v>
      </c>
      <c r="C19" s="8" t="s">
        <v>200</v>
      </c>
      <c r="D19" s="8" t="s">
        <v>167</v>
      </c>
      <c r="E19" s="9">
        <v>745.0</v>
      </c>
      <c r="F19" s="10">
        <v>707.8</v>
      </c>
      <c r="G19" s="10">
        <v>722.7</v>
      </c>
      <c r="H19" s="10">
        <v>774.8</v>
      </c>
      <c r="I19" s="10">
        <v>573.6</v>
      </c>
      <c r="J19" s="10">
        <v>648.1</v>
      </c>
      <c r="K19" s="10">
        <v>700.3</v>
      </c>
      <c r="L19" s="10">
        <v>782.2</v>
      </c>
      <c r="M19" s="10">
        <v>685.4</v>
      </c>
      <c r="N19" s="10">
        <v>774.8</v>
      </c>
      <c r="O19" s="10">
        <v>856.8</v>
      </c>
      <c r="P19" s="10">
        <v>745.0</v>
      </c>
      <c r="Q19" s="10">
        <v>730.1</v>
      </c>
      <c r="R19" s="10">
        <v>722.7</v>
      </c>
      <c r="S19" s="10">
        <v>782.2</v>
      </c>
      <c r="T19" s="10">
        <v>871.7</v>
      </c>
      <c r="U19" s="10">
        <f>ROUND(AVERAGE(F19:T19),1)</f>
        <v>738.5</v>
      </c>
      <c r="V19" s="10">
        <f>MIN(F19:T19)</f>
        <v>573.6</v>
      </c>
      <c r="W19" s="10">
        <f>MAX(F19:T19)</f>
        <v>871.7</v>
      </c>
      <c r="X19" s="13">
        <f>ROUND(STDEV(F19:T19),1)</f>
        <v>75.3</v>
      </c>
      <c r="Y19" s="13">
        <f>ROUND(X19/U19*100,1)</f>
        <v>10.2</v>
      </c>
      <c r="Z19" s="13">
        <f>ROUND((U19-E19)/E19*100,1)</f>
        <v>-0.9</v>
      </c>
      <c r="AA19" s="9">
        <v>1.0</v>
      </c>
      <c r="AB19" s="9">
        <v>2.0</v>
      </c>
      <c r="AC19" s="8" t="s">
        <v>132</v>
      </c>
    </row>
    <row r="20" spans="8:8" ht="18.75" customHeight="1">
      <c r="A20" s="2" t="s">
        <v>204</v>
      </c>
      <c r="B20" s="3" t="s">
        <v>167</v>
      </c>
      <c r="C20" s="3" t="s">
        <v>205</v>
      </c>
      <c r="D20" s="3" t="s">
        <v>167</v>
      </c>
      <c r="E20" s="4">
        <v>665.0</v>
      </c>
      <c r="F20" s="5">
        <v>618.5</v>
      </c>
      <c r="G20" s="5">
        <v>631.8</v>
      </c>
      <c r="H20" s="5">
        <v>678.3</v>
      </c>
      <c r="I20" s="5">
        <v>625.1</v>
      </c>
      <c r="J20" s="5">
        <v>565.2</v>
      </c>
      <c r="K20" s="5">
        <v>611.8</v>
      </c>
      <c r="L20" s="5">
        <v>685.0</v>
      </c>
      <c r="M20" s="5">
        <v>598.5</v>
      </c>
      <c r="N20" s="5">
        <v>678.3</v>
      </c>
      <c r="O20" s="5">
        <v>751.5</v>
      </c>
      <c r="P20" s="5">
        <v>651.7</v>
      </c>
      <c r="Q20" s="5">
        <v>764.8</v>
      </c>
      <c r="R20" s="5">
        <v>631.8</v>
      </c>
      <c r="S20" s="5">
        <v>685.0</v>
      </c>
      <c r="T20" s="5">
        <v>764.8</v>
      </c>
      <c r="U20" s="5">
        <f>ROUND(AVERAGE(F20:T20),1)</f>
        <v>662.8</v>
      </c>
      <c r="V20" s="5">
        <f>MIN(F20:T20)</f>
        <v>565.2</v>
      </c>
      <c r="W20" s="5">
        <f>MAX(F20:T20)</f>
        <v>764.8</v>
      </c>
      <c r="X20" s="12">
        <f>ROUND(STDEV(F20:T20),1)</f>
        <v>60.8</v>
      </c>
      <c r="Y20" s="12">
        <f>ROUND(X20/U20*100,1)</f>
        <v>9.2</v>
      </c>
      <c r="Z20" s="12">
        <f>ROUND((U20-E20)/E20*100,1)</f>
        <v>-0.3</v>
      </c>
      <c r="AA20" s="4">
        <v>0.0</v>
      </c>
      <c r="AB20" s="4">
        <v>2.0</v>
      </c>
      <c r="AC20" s="3" t="s">
        <v>132</v>
      </c>
    </row>
    <row r="21" spans="8:8" ht="18.75" customHeight="1">
      <c r="A21" s="7" t="s">
        <v>210</v>
      </c>
      <c r="B21" s="8" t="s">
        <v>211</v>
      </c>
      <c r="C21" s="8" t="s">
        <v>212</v>
      </c>
      <c r="D21" s="8" t="s">
        <v>213</v>
      </c>
      <c r="E21" s="9">
        <v>1105.0</v>
      </c>
      <c r="F21" s="10">
        <v>1215.5</v>
      </c>
      <c r="G21" s="10">
        <v>1027.7</v>
      </c>
      <c r="H21" s="10">
        <v>1105.0</v>
      </c>
      <c r="I21" s="10">
        <v>1016.6</v>
      </c>
      <c r="J21" s="10">
        <v>917.1</v>
      </c>
      <c r="K21" s="10">
        <v>994.5</v>
      </c>
      <c r="L21" s="10">
        <v>1116.0</v>
      </c>
      <c r="M21" s="10">
        <v>972.4</v>
      </c>
      <c r="N21" s="10">
        <v>1315.0</v>
      </c>
      <c r="O21" s="10">
        <v>1226.6</v>
      </c>
      <c r="P21" s="10">
        <v>1060.8</v>
      </c>
      <c r="Q21" s="10">
        <v>1248.7</v>
      </c>
      <c r="R21" s="10">
        <v>1027.7</v>
      </c>
      <c r="S21" s="10">
        <v>1116.0</v>
      </c>
      <c r="T21" s="10">
        <v>1248.7</v>
      </c>
      <c r="U21" s="10">
        <f>ROUND(AVERAGE(F21:T21),1)</f>
        <v>1107.2</v>
      </c>
      <c r="V21" s="10">
        <f>MIN(F21:T21)</f>
        <v>917.1</v>
      </c>
      <c r="W21" s="10">
        <f>MAX(F21:T21)</f>
        <v>1315.0</v>
      </c>
      <c r="X21" s="13">
        <f>ROUND(STDEV(F21:T21),1)</f>
        <v>119.3</v>
      </c>
      <c r="Y21" s="13">
        <f>ROUND(X21/U21*100,1)</f>
        <v>10.8</v>
      </c>
      <c r="Z21" s="13">
        <f>ROUND((U21-E21)/E21*100,1)</f>
        <v>0.2</v>
      </c>
      <c r="AA21" s="9">
        <v>0.0</v>
      </c>
      <c r="AB21" s="9">
        <v>1.0</v>
      </c>
      <c r="AC21" s="8" t="s">
        <v>111</v>
      </c>
    </row>
    <row r="22" spans="8:8" ht="18.75" customHeight="1">
      <c r="A22" s="2" t="s">
        <v>220</v>
      </c>
      <c r="B22" s="3" t="s">
        <v>211</v>
      </c>
      <c r="C22" s="3" t="s">
        <v>221</v>
      </c>
      <c r="D22" s="3" t="s">
        <v>213</v>
      </c>
      <c r="E22" s="4">
        <v>845.0</v>
      </c>
      <c r="F22" s="5">
        <v>912.6</v>
      </c>
      <c r="G22" s="5">
        <v>769.0</v>
      </c>
      <c r="H22" s="5">
        <v>828.1</v>
      </c>
      <c r="I22" s="5">
        <v>760.5</v>
      </c>
      <c r="J22" s="5">
        <v>684.4</v>
      </c>
      <c r="K22" s="5">
        <v>904.2</v>
      </c>
      <c r="L22" s="5">
        <v>836.5</v>
      </c>
      <c r="M22" s="5">
        <v>726.7</v>
      </c>
      <c r="N22" s="5">
        <v>988.7</v>
      </c>
      <c r="O22" s="5">
        <v>921.1</v>
      </c>
      <c r="P22" s="5">
        <v>794.3</v>
      </c>
      <c r="Q22" s="5">
        <v>938.0</v>
      </c>
      <c r="R22" s="5">
        <v>769.0</v>
      </c>
      <c r="S22" s="5">
        <v>836.6</v>
      </c>
      <c r="T22" s="5">
        <v>938.0</v>
      </c>
      <c r="U22" s="5">
        <f>ROUND(AVERAGE(F22:T22),1)</f>
        <v>840.5</v>
      </c>
      <c r="V22" s="5">
        <f>MIN(F22:T22)</f>
        <v>684.4</v>
      </c>
      <c r="W22" s="5">
        <f>MAX(F22:T22)</f>
        <v>988.7</v>
      </c>
      <c r="X22" s="12">
        <f>ROUND(STDEV(F22:T22),1)</f>
        <v>89.8</v>
      </c>
      <c r="Y22" s="12">
        <f>ROUND(X22/U22*100,1)</f>
        <v>10.7</v>
      </c>
      <c r="Z22" s="12">
        <f>ROUND((U22-E22)/E22*100,1)</f>
        <v>-0.5</v>
      </c>
      <c r="AA22" s="4">
        <v>0.0</v>
      </c>
      <c r="AB22" s="4">
        <v>1.0</v>
      </c>
      <c r="AC22" s="3" t="s">
        <v>224</v>
      </c>
    </row>
    <row r="23" spans="8:8" ht="18.75" customHeight="1">
      <c r="A23" s="7" t="s">
        <v>231</v>
      </c>
      <c r="B23" s="8" t="s">
        <v>211</v>
      </c>
      <c r="C23" s="8" t="s">
        <v>232</v>
      </c>
      <c r="D23" s="8" t="s">
        <v>213</v>
      </c>
      <c r="E23" s="9">
        <v>690.0</v>
      </c>
      <c r="F23" s="10">
        <v>731.4</v>
      </c>
      <c r="G23" s="10">
        <v>614.1</v>
      </c>
      <c r="H23" s="10">
        <v>793.5</v>
      </c>
      <c r="I23" s="10">
        <v>607.2</v>
      </c>
      <c r="J23" s="10">
        <v>545.1</v>
      </c>
      <c r="K23" s="10">
        <v>724.5</v>
      </c>
      <c r="L23" s="10">
        <v>669.3</v>
      </c>
      <c r="M23" s="10">
        <v>579.6</v>
      </c>
      <c r="N23" s="10">
        <v>793.5</v>
      </c>
      <c r="O23" s="10">
        <v>738.3</v>
      </c>
      <c r="P23" s="10">
        <v>634.8</v>
      </c>
      <c r="Q23" s="10">
        <v>752.1</v>
      </c>
      <c r="R23" s="10">
        <v>614.1</v>
      </c>
      <c r="S23" s="10">
        <v>800.4</v>
      </c>
      <c r="T23" s="10">
        <v>752.1</v>
      </c>
      <c r="U23" s="10">
        <f>ROUND(AVERAGE(F23:T23),1)</f>
        <v>690.0</v>
      </c>
      <c r="V23" s="10">
        <f>MIN(F23:T23)</f>
        <v>545.1</v>
      </c>
      <c r="W23" s="10">
        <f>MAX(F23:T23)</f>
        <v>800.4</v>
      </c>
      <c r="X23" s="13">
        <f>ROUND(STDEV(F23:T23),1)</f>
        <v>85.2</v>
      </c>
      <c r="Y23" s="13">
        <f>ROUND(X23/U23*100,1)</f>
        <v>12.3</v>
      </c>
      <c r="Z23" s="13">
        <f>ROUND((U23-E23)/E23*100,1)</f>
        <v>0.0</v>
      </c>
      <c r="AA23" s="9">
        <v>1.0</v>
      </c>
      <c r="AB23" s="9">
        <v>3.0</v>
      </c>
      <c r="AC23" s="8" t="s">
        <v>235</v>
      </c>
    </row>
    <row r="24" spans="8:8" ht="18.75" customHeight="1">
      <c r="A24" s="2" t="s">
        <v>239</v>
      </c>
      <c r="B24" s="3" t="s">
        <v>211</v>
      </c>
      <c r="C24" s="3" t="s">
        <v>240</v>
      </c>
      <c r="D24" s="3" t="s">
        <v>213</v>
      </c>
      <c r="E24" s="4">
        <v>1025.0</v>
      </c>
      <c r="F24" s="5">
        <v>1066.0</v>
      </c>
      <c r="G24" s="5">
        <v>891.8</v>
      </c>
      <c r="H24" s="5">
        <v>1158.3</v>
      </c>
      <c r="I24" s="5">
        <v>881.5</v>
      </c>
      <c r="J24" s="5">
        <v>789.2</v>
      </c>
      <c r="K24" s="5">
        <v>1055.8</v>
      </c>
      <c r="L24" s="5">
        <v>973.8</v>
      </c>
      <c r="M24" s="5">
        <v>840.5</v>
      </c>
      <c r="N24" s="5">
        <v>1158.3</v>
      </c>
      <c r="O24" s="5">
        <v>1076.2</v>
      </c>
      <c r="P24" s="5">
        <v>1117.2</v>
      </c>
      <c r="Q24" s="5">
        <v>1096.8</v>
      </c>
      <c r="R24" s="5">
        <v>891.8</v>
      </c>
      <c r="S24" s="5">
        <v>1168.5</v>
      </c>
      <c r="T24" s="5">
        <v>1096.8</v>
      </c>
      <c r="U24" s="5">
        <f>ROUND(AVERAGE(F24:T24),1)</f>
        <v>1017.5</v>
      </c>
      <c r="V24" s="5">
        <f>MIN(F24:T24)</f>
        <v>789.2</v>
      </c>
      <c r="W24" s="5">
        <f>MAX(F24:T24)</f>
        <v>1168.5</v>
      </c>
      <c r="X24" s="12">
        <f>ROUND(STDEV(F24:T24),1)</f>
        <v>127.5</v>
      </c>
      <c r="Y24" s="12">
        <f>ROUND(X24/U24*100,1)</f>
        <v>12.5</v>
      </c>
      <c r="Z24" s="12">
        <f>ROUND((U24-E24)/E24*100,1)</f>
        <v>-0.7</v>
      </c>
      <c r="AA24" s="4">
        <v>1.0</v>
      </c>
      <c r="AB24" s="4">
        <v>0.0</v>
      </c>
      <c r="AC24" s="3" t="s">
        <v>111</v>
      </c>
    </row>
    <row r="25" spans="8:8" ht="18.75" customHeight="1">
      <c r="A25" s="7" t="s">
        <v>248</v>
      </c>
      <c r="B25" s="8" t="s">
        <v>211</v>
      </c>
      <c r="C25" s="8" t="s">
        <v>249</v>
      </c>
      <c r="D25" s="8" t="s">
        <v>213</v>
      </c>
      <c r="E25" s="9">
        <v>815.0</v>
      </c>
      <c r="F25" s="10">
        <v>831.3</v>
      </c>
      <c r="G25" s="10">
        <v>692.8</v>
      </c>
      <c r="H25" s="10">
        <v>904.7</v>
      </c>
      <c r="I25" s="10">
        <v>684.6</v>
      </c>
      <c r="J25" s="10">
        <v>611.2</v>
      </c>
      <c r="K25" s="10">
        <v>823.1</v>
      </c>
      <c r="L25" s="10">
        <v>757.9</v>
      </c>
      <c r="M25" s="10">
        <v>806.9</v>
      </c>
      <c r="N25" s="10">
        <v>904.7</v>
      </c>
      <c r="O25" s="10">
        <v>839.5</v>
      </c>
      <c r="P25" s="10">
        <v>872.1</v>
      </c>
      <c r="Q25" s="10">
        <v>855.8</v>
      </c>
      <c r="R25" s="10">
        <v>692.8</v>
      </c>
      <c r="S25" s="10">
        <v>912.8</v>
      </c>
      <c r="T25" s="10">
        <v>855.8</v>
      </c>
      <c r="U25" s="10">
        <f>ROUND(AVERAGE(F25:T25),1)</f>
        <v>803.1</v>
      </c>
      <c r="V25" s="10">
        <f>MIN(F25:T25)</f>
        <v>611.2</v>
      </c>
      <c r="W25" s="10">
        <f>MAX(F25:T25)</f>
        <v>912.8</v>
      </c>
      <c r="X25" s="13">
        <f>ROUND(STDEV(F25:T25),1)</f>
        <v>93.6</v>
      </c>
      <c r="Y25" s="13">
        <f>ROUND(X25/U25*100,1)</f>
        <v>11.7</v>
      </c>
      <c r="Z25" s="13">
        <f>ROUND((U25-E25)/E25*100,1)</f>
        <v>-1.5</v>
      </c>
      <c r="AA25" s="9">
        <v>1.0</v>
      </c>
      <c r="AB25" s="9">
        <v>0.0</v>
      </c>
      <c r="AC25" s="8" t="s">
        <v>111</v>
      </c>
    </row>
    <row r="26" spans="8:8" ht="18.75" customHeight="1">
      <c r="A26" s="2" t="s">
        <v>253</v>
      </c>
      <c r="B26" s="3" t="s">
        <v>211</v>
      </c>
      <c r="C26" s="3" t="s">
        <v>254</v>
      </c>
      <c r="D26" s="3" t="s">
        <v>213</v>
      </c>
      <c r="E26" s="4">
        <v>1420.0</v>
      </c>
      <c r="F26" s="5">
        <v>1420.0</v>
      </c>
      <c r="G26" s="5">
        <v>1178.6</v>
      </c>
      <c r="H26" s="5">
        <v>1547.8</v>
      </c>
      <c r="I26" s="5">
        <v>1164.4</v>
      </c>
      <c r="J26" s="5">
        <v>1306.4</v>
      </c>
      <c r="K26" s="5">
        <v>1405.8</v>
      </c>
      <c r="L26" s="5">
        <v>1292.2</v>
      </c>
      <c r="M26" s="5">
        <v>1377.4</v>
      </c>
      <c r="N26" s="5">
        <v>1547.8</v>
      </c>
      <c r="O26" s="5">
        <v>1434.2</v>
      </c>
      <c r="P26" s="5">
        <v>1491.0</v>
      </c>
      <c r="Q26" s="5">
        <v>1462.6</v>
      </c>
      <c r="R26" s="5">
        <v>1448.4</v>
      </c>
      <c r="S26" s="5">
        <v>1562.0</v>
      </c>
      <c r="T26" s="5">
        <v>1462.6</v>
      </c>
      <c r="U26" s="5">
        <f>ROUND(AVERAGE(F26:T26),1)</f>
        <v>1406.7</v>
      </c>
      <c r="V26" s="5">
        <f>MIN(F26:T26)</f>
        <v>1164.4</v>
      </c>
      <c r="W26" s="5">
        <f>MAX(F26:T26)</f>
        <v>1562.0</v>
      </c>
      <c r="X26" s="12">
        <f>ROUND(STDEV(F26:T26),1)</f>
        <v>123.8</v>
      </c>
      <c r="Y26" s="12">
        <f>ROUND(X26/U26*100,1)</f>
        <v>8.8</v>
      </c>
      <c r="Z26" s="12">
        <f>ROUND((U26-E26)/E26*100,1)</f>
        <v>-0.9</v>
      </c>
      <c r="AA26" s="4">
        <v>0.0</v>
      </c>
      <c r="AB26" s="4">
        <v>0.0</v>
      </c>
      <c r="AC26" s="3" t="s">
        <v>259</v>
      </c>
    </row>
    <row r="27" spans="8:8" ht="18.75" customHeight="1">
      <c r="A27" s="7" t="s">
        <v>263</v>
      </c>
      <c r="B27" s="8" t="s">
        <v>211</v>
      </c>
      <c r="C27" s="8" t="s">
        <v>264</v>
      </c>
      <c r="D27" s="8" t="s">
        <v>213</v>
      </c>
      <c r="E27" s="9">
        <v>1780.0</v>
      </c>
      <c r="F27" s="10">
        <v>1744.4</v>
      </c>
      <c r="G27" s="10">
        <v>1780.0</v>
      </c>
      <c r="H27" s="10">
        <v>1904.6</v>
      </c>
      <c r="I27" s="10">
        <v>1424.0</v>
      </c>
      <c r="J27" s="10">
        <v>1602.0</v>
      </c>
      <c r="K27" s="10">
        <v>1726.6</v>
      </c>
      <c r="L27" s="10">
        <v>1584.2</v>
      </c>
      <c r="M27" s="10">
        <v>1691.0</v>
      </c>
      <c r="N27" s="10">
        <v>1904.6</v>
      </c>
      <c r="O27" s="10">
        <v>2100.4</v>
      </c>
      <c r="P27" s="10">
        <v>1833.4</v>
      </c>
      <c r="Q27" s="10">
        <v>1797.8</v>
      </c>
      <c r="R27" s="10">
        <v>1780.0</v>
      </c>
      <c r="S27" s="10">
        <v>1922.4</v>
      </c>
      <c r="T27" s="10">
        <v>1797.8</v>
      </c>
      <c r="U27" s="10">
        <f>ROUND(AVERAGE(F27:T27),1)</f>
        <v>1772.9</v>
      </c>
      <c r="V27" s="10">
        <f>MIN(F27:T27)</f>
        <v>1424.0</v>
      </c>
      <c r="W27" s="10">
        <f>MAX(F27:T27)</f>
        <v>2100.4</v>
      </c>
      <c r="X27" s="13">
        <f>ROUND(STDEV(F27:T27),1)</f>
        <v>161.6</v>
      </c>
      <c r="Y27" s="13">
        <f>ROUND(X27/U27*100,1)</f>
        <v>9.1</v>
      </c>
      <c r="Z27" s="13">
        <f>ROUND((U27-E27)/E27*100,1)</f>
        <v>-0.4</v>
      </c>
      <c r="AA27" s="9">
        <v>0.0</v>
      </c>
      <c r="AB27" s="9">
        <v>1.0</v>
      </c>
      <c r="AC27" s="8" t="s">
        <v>46</v>
      </c>
    </row>
    <row r="28" spans="8:8" ht="18.75" customHeight="1">
      <c r="A28" s="2" t="s">
        <v>272</v>
      </c>
      <c r="B28" s="3" t="s">
        <v>273</v>
      </c>
      <c r="C28" s="3" t="s">
        <v>274</v>
      </c>
      <c r="D28" s="3" t="s">
        <v>275</v>
      </c>
      <c r="E28" s="4">
        <v>865.0</v>
      </c>
      <c r="F28" s="5">
        <v>830.4</v>
      </c>
      <c r="G28" s="5">
        <v>847.7</v>
      </c>
      <c r="H28" s="5">
        <v>908.2</v>
      </c>
      <c r="I28" s="5">
        <v>674.7</v>
      </c>
      <c r="J28" s="5">
        <v>761.2</v>
      </c>
      <c r="K28" s="5">
        <v>821.8</v>
      </c>
      <c r="L28" s="5">
        <v>916.9</v>
      </c>
      <c r="M28" s="5">
        <v>804.5</v>
      </c>
      <c r="N28" s="5">
        <v>908.2</v>
      </c>
      <c r="O28" s="5">
        <v>1003.4</v>
      </c>
      <c r="P28" s="5">
        <v>873.6</v>
      </c>
      <c r="Q28" s="5">
        <v>856.4</v>
      </c>
      <c r="R28" s="5">
        <v>847.7</v>
      </c>
      <c r="S28" s="5">
        <v>916.9</v>
      </c>
      <c r="T28" s="5">
        <v>856.4</v>
      </c>
      <c r="U28" s="5">
        <f>ROUND(AVERAGE(F28:T28),1)</f>
        <v>855.2</v>
      </c>
      <c r="V28" s="5">
        <f>MIN(F28:T28)</f>
        <v>674.7</v>
      </c>
      <c r="W28" s="5">
        <f>MAX(F28:T28)</f>
        <v>1003.4</v>
      </c>
      <c r="X28" s="12">
        <f>ROUND(STDEV(F28:T28),1)</f>
        <v>76.2</v>
      </c>
      <c r="Y28" s="12">
        <f>ROUND(X28/U28*100,1)</f>
        <v>8.9</v>
      </c>
      <c r="Z28" s="12">
        <f>ROUND((U28-E28)/E28*100,1)</f>
        <v>-1.1</v>
      </c>
      <c r="AA28" s="4">
        <v>1.0</v>
      </c>
      <c r="AB28" s="4">
        <v>1.0</v>
      </c>
      <c r="AC28" s="3" t="s">
        <v>171</v>
      </c>
    </row>
    <row r="29" spans="8:8" ht="18.75" customHeight="1">
      <c r="A29" s="7" t="s">
        <v>281</v>
      </c>
      <c r="B29" s="8" t="s">
        <v>273</v>
      </c>
      <c r="C29" s="8" t="s">
        <v>282</v>
      </c>
      <c r="D29" s="8" t="s">
        <v>275</v>
      </c>
      <c r="E29" s="9">
        <v>685.0</v>
      </c>
      <c r="F29" s="10">
        <v>643.9</v>
      </c>
      <c r="G29" s="10">
        <v>657.6</v>
      </c>
      <c r="H29" s="10">
        <v>705.6</v>
      </c>
      <c r="I29" s="10">
        <v>650.8</v>
      </c>
      <c r="J29" s="10">
        <v>589.1</v>
      </c>
      <c r="K29" s="10">
        <v>637.0</v>
      </c>
      <c r="L29" s="10">
        <v>712.4</v>
      </c>
      <c r="M29" s="10">
        <v>623.4</v>
      </c>
      <c r="N29" s="10">
        <v>705.6</v>
      </c>
      <c r="O29" s="10">
        <v>780.9</v>
      </c>
      <c r="P29" s="10">
        <v>678.1</v>
      </c>
      <c r="Q29" s="10">
        <v>664.5</v>
      </c>
      <c r="R29" s="10">
        <v>657.6</v>
      </c>
      <c r="S29" s="10">
        <v>712.4</v>
      </c>
      <c r="T29" s="10">
        <v>794.6</v>
      </c>
      <c r="U29" s="10">
        <f>ROUND(AVERAGE(F29:T29),1)</f>
        <v>680.9</v>
      </c>
      <c r="V29" s="10">
        <f>MIN(F29:T29)</f>
        <v>589.1</v>
      </c>
      <c r="W29" s="10">
        <f>MAX(F29:T29)</f>
        <v>794.6</v>
      </c>
      <c r="X29" s="13">
        <f>ROUND(STDEV(F29:T29),1)</f>
        <v>55.7</v>
      </c>
      <c r="Y29" s="13">
        <f>ROUND(X29/U29*100,1)</f>
        <v>8.2</v>
      </c>
      <c r="Z29" s="13">
        <f>ROUND((U29-E29)/E29*100,1)</f>
        <v>-0.6</v>
      </c>
      <c r="AA29" s="9">
        <v>0.0</v>
      </c>
      <c r="AB29" s="9">
        <v>1.0</v>
      </c>
      <c r="AC29" s="8" t="s">
        <v>132</v>
      </c>
    </row>
    <row r="30" spans="8:8" ht="18.75" customHeight="1">
      <c r="A30" s="2" t="s">
        <v>286</v>
      </c>
      <c r="B30" s="3" t="s">
        <v>273</v>
      </c>
      <c r="C30" s="3" t="s">
        <v>287</v>
      </c>
      <c r="D30" s="3" t="s">
        <v>275</v>
      </c>
      <c r="E30" s="4">
        <v>585.0</v>
      </c>
      <c r="F30" s="5">
        <v>680.9</v>
      </c>
      <c r="G30" s="5">
        <v>556.9</v>
      </c>
      <c r="H30" s="5">
        <v>573.3</v>
      </c>
      <c r="I30" s="5">
        <v>568.6</v>
      </c>
      <c r="J30" s="5">
        <v>491.4</v>
      </c>
      <c r="K30" s="5">
        <v>507.8</v>
      </c>
      <c r="L30" s="5">
        <v>614.2</v>
      </c>
      <c r="M30" s="5">
        <v>513.6</v>
      </c>
      <c r="N30" s="5">
        <v>559.3</v>
      </c>
      <c r="O30" s="5">
        <v>665.7</v>
      </c>
      <c r="P30" s="5">
        <v>553.4</v>
      </c>
      <c r="Q30" s="5">
        <v>695.0</v>
      </c>
      <c r="R30" s="5">
        <v>553.4</v>
      </c>
      <c r="S30" s="5">
        <v>575.6</v>
      </c>
      <c r="T30" s="5">
        <v>688.0</v>
      </c>
      <c r="U30" s="5">
        <f>ROUND(AVERAGE(F30:T30),1)</f>
        <v>586.5</v>
      </c>
      <c r="V30" s="5">
        <f>MIN(F30:T30)</f>
        <v>491.4</v>
      </c>
      <c r="W30" s="5">
        <f>MAX(F30:T30)</f>
        <v>695.0</v>
      </c>
      <c r="X30" s="12">
        <f>ROUND(STDEV(F30:T30),1)</f>
        <v>67.1</v>
      </c>
      <c r="Y30" s="12">
        <f>ROUND(X30/U30*100,1)</f>
        <v>11.4</v>
      </c>
      <c r="Z30" s="12">
        <f>ROUND((U30-E30)/E30*100,1)</f>
        <v>0.3</v>
      </c>
      <c r="AA30" s="4">
        <v>0.0</v>
      </c>
      <c r="AB30" s="4">
        <v>3.0</v>
      </c>
      <c r="AC30" s="3" t="s">
        <v>290</v>
      </c>
    </row>
    <row r="31" spans="8:8" ht="18.75" customHeight="1">
      <c r="A31" s="7" t="s">
        <v>293</v>
      </c>
      <c r="B31" s="8" t="s">
        <v>273</v>
      </c>
      <c r="C31" s="8" t="s">
        <v>294</v>
      </c>
      <c r="D31" s="8" t="s">
        <v>295</v>
      </c>
      <c r="E31" s="9">
        <v>610.0</v>
      </c>
      <c r="F31" s="10">
        <v>664.9</v>
      </c>
      <c r="G31" s="10">
        <v>561.2</v>
      </c>
      <c r="H31" s="10">
        <v>603.9</v>
      </c>
      <c r="I31" s="10">
        <v>555.1</v>
      </c>
      <c r="J31" s="10">
        <v>500.2</v>
      </c>
      <c r="K31" s="10">
        <v>542.9</v>
      </c>
      <c r="L31" s="10">
        <v>610.0</v>
      </c>
      <c r="M31" s="10">
        <v>530.7</v>
      </c>
      <c r="N31" s="10">
        <v>719.8</v>
      </c>
      <c r="O31" s="10">
        <v>671.0</v>
      </c>
      <c r="P31" s="10">
        <v>579.5</v>
      </c>
      <c r="Q31" s="10">
        <v>683.2</v>
      </c>
      <c r="R31" s="10">
        <v>561.2</v>
      </c>
      <c r="S31" s="10">
        <v>610.0</v>
      </c>
      <c r="T31" s="10">
        <v>683.2</v>
      </c>
      <c r="U31" s="10">
        <f>ROUND(AVERAGE(F31:T31),1)</f>
        <v>605.1</v>
      </c>
      <c r="V31" s="10">
        <f>MIN(F31:T31)</f>
        <v>500.2</v>
      </c>
      <c r="W31" s="10">
        <f>MAX(F31:T31)</f>
        <v>719.8</v>
      </c>
      <c r="X31" s="13">
        <f>ROUND(STDEV(F31:T31),1)</f>
        <v>65.9</v>
      </c>
      <c r="Y31" s="13">
        <f>ROUND(X31/U31*100,1)</f>
        <v>10.9</v>
      </c>
      <c r="Z31" s="13">
        <f>ROUND((U31-E31)/E31*100,1)</f>
        <v>-0.8</v>
      </c>
      <c r="AA31" s="9">
        <v>0.0</v>
      </c>
      <c r="AB31" s="9">
        <v>1.0</v>
      </c>
      <c r="AC31" s="8" t="s">
        <v>298</v>
      </c>
    </row>
    <row r="32" spans="8:8" ht="18.75" customHeight="1">
      <c r="A32" s="2" t="s">
        <v>301</v>
      </c>
      <c r="B32" s="3" t="s">
        <v>273</v>
      </c>
      <c r="C32" s="3" t="s">
        <v>302</v>
      </c>
      <c r="D32" s="3" t="s">
        <v>295</v>
      </c>
      <c r="E32" s="4">
        <v>765.0</v>
      </c>
      <c r="F32" s="5">
        <v>818.6</v>
      </c>
      <c r="G32" s="5">
        <v>688.5</v>
      </c>
      <c r="H32" s="5">
        <v>742.1</v>
      </c>
      <c r="I32" s="5">
        <v>680.9</v>
      </c>
      <c r="J32" s="5">
        <v>612.0</v>
      </c>
      <c r="K32" s="5">
        <v>810.9</v>
      </c>
      <c r="L32" s="5">
        <v>749.7</v>
      </c>
      <c r="M32" s="5">
        <v>650.3</v>
      </c>
      <c r="N32" s="5">
        <v>887.4</v>
      </c>
      <c r="O32" s="5">
        <v>826.2</v>
      </c>
      <c r="P32" s="5">
        <v>711.5</v>
      </c>
      <c r="Q32" s="5">
        <v>841.5</v>
      </c>
      <c r="R32" s="5">
        <v>688.5</v>
      </c>
      <c r="S32" s="5">
        <v>895.1</v>
      </c>
      <c r="T32" s="5">
        <v>841.5</v>
      </c>
      <c r="U32" s="5">
        <f>ROUND(AVERAGE(F32:T32),1)</f>
        <v>763.0</v>
      </c>
      <c r="V32" s="5">
        <f>MIN(F32:T32)</f>
        <v>612.0</v>
      </c>
      <c r="W32" s="5">
        <f>MAX(F32:T32)</f>
        <v>895.1</v>
      </c>
      <c r="X32" s="12">
        <f>ROUND(STDEV(F32:T32),1)</f>
        <v>89.1</v>
      </c>
      <c r="Y32" s="12">
        <f>ROUND(X32/U32*100,1)</f>
        <v>11.7</v>
      </c>
      <c r="Z32" s="12">
        <f>ROUND((U32-E32)/E32*100,1)</f>
        <v>-0.3</v>
      </c>
      <c r="AA32" s="4">
        <v>0.0</v>
      </c>
      <c r="AB32" s="4">
        <v>2.0</v>
      </c>
      <c r="AC32" s="3" t="s">
        <v>306</v>
      </c>
    </row>
    <row r="33" spans="8:8" ht="18.75" customHeight="1">
      <c r="A33" s="7" t="s">
        <v>312</v>
      </c>
      <c r="B33" s="8" t="s">
        <v>273</v>
      </c>
      <c r="C33" s="8" t="s">
        <v>313</v>
      </c>
      <c r="D33" s="8" t="s">
        <v>295</v>
      </c>
      <c r="E33" s="9">
        <v>735.0</v>
      </c>
      <c r="F33" s="10">
        <v>771.8</v>
      </c>
      <c r="G33" s="10">
        <v>646.8</v>
      </c>
      <c r="H33" s="10">
        <v>837.9</v>
      </c>
      <c r="I33" s="10">
        <v>639.5</v>
      </c>
      <c r="J33" s="10">
        <v>573.3</v>
      </c>
      <c r="K33" s="10">
        <v>764.4</v>
      </c>
      <c r="L33" s="10">
        <v>705.6</v>
      </c>
      <c r="M33" s="10">
        <v>610.1</v>
      </c>
      <c r="N33" s="10">
        <v>837.9</v>
      </c>
      <c r="O33" s="10">
        <v>779.1</v>
      </c>
      <c r="P33" s="10">
        <v>808.5</v>
      </c>
      <c r="Q33" s="10">
        <v>793.8</v>
      </c>
      <c r="R33" s="10">
        <v>646.8</v>
      </c>
      <c r="S33" s="10">
        <v>845.3</v>
      </c>
      <c r="T33" s="10">
        <v>793.8</v>
      </c>
      <c r="U33" s="10">
        <f>ROUND(AVERAGE(F33:T33),1)</f>
        <v>737.0</v>
      </c>
      <c r="V33" s="10">
        <f>MIN(F33:T33)</f>
        <v>573.3</v>
      </c>
      <c r="W33" s="10">
        <f>MAX(F33:T33)</f>
        <v>845.3</v>
      </c>
      <c r="X33" s="13">
        <f>ROUND(STDEV(F33:T33),1)</f>
        <v>91.4</v>
      </c>
      <c r="Y33" s="13">
        <f>ROUND(X33/U33*100,1)</f>
        <v>12.4</v>
      </c>
      <c r="Z33" s="13">
        <f>ROUND((U33-E33)/E33*100,1)</f>
        <v>0.3</v>
      </c>
      <c r="AA33" s="9">
        <v>1.0</v>
      </c>
      <c r="AB33" s="9">
        <v>1.0</v>
      </c>
      <c r="AC33" s="8" t="s">
        <v>316</v>
      </c>
    </row>
    <row r="34" spans="8:8" ht="18.75" customHeight="1">
      <c r="A34" s="2" t="s">
        <v>322</v>
      </c>
      <c r="B34" s="3" t="s">
        <v>273</v>
      </c>
      <c r="C34" s="3" t="s">
        <v>323</v>
      </c>
      <c r="D34" s="3" t="s">
        <v>295</v>
      </c>
      <c r="E34" s="4">
        <v>920.0</v>
      </c>
      <c r="F34" s="5">
        <v>947.6</v>
      </c>
      <c r="G34" s="5">
        <v>791.2</v>
      </c>
      <c r="H34" s="5">
        <v>1030.4</v>
      </c>
      <c r="I34" s="5">
        <v>782.0</v>
      </c>
      <c r="J34" s="5">
        <v>699.2</v>
      </c>
      <c r="K34" s="5">
        <v>938.4</v>
      </c>
      <c r="L34" s="5">
        <v>864.8</v>
      </c>
      <c r="M34" s="5">
        <v>920.0</v>
      </c>
      <c r="N34" s="5">
        <v>1030.4</v>
      </c>
      <c r="O34" s="5">
        <v>956.8</v>
      </c>
      <c r="P34" s="5">
        <v>993.6</v>
      </c>
      <c r="Q34" s="5">
        <v>975.2</v>
      </c>
      <c r="R34" s="5">
        <v>791.2</v>
      </c>
      <c r="S34" s="5">
        <v>1039.6</v>
      </c>
      <c r="T34" s="5">
        <v>975.2</v>
      </c>
      <c r="U34" s="5">
        <f>ROUND(AVERAGE(F34:T34),1)</f>
        <v>915.7</v>
      </c>
      <c r="V34" s="5">
        <f>MIN(F34:T34)</f>
        <v>699.2</v>
      </c>
      <c r="W34" s="5">
        <f>MAX(F34:T34)</f>
        <v>1039.6</v>
      </c>
      <c r="X34" s="12">
        <f>ROUND(STDEV(F34:T34),1)</f>
        <v>105.7</v>
      </c>
      <c r="Y34" s="12">
        <f>ROUND(X34/U34*100,1)</f>
        <v>11.5</v>
      </c>
      <c r="Z34" s="12">
        <f>ROUND((U34-E34)/E34*100,1)</f>
        <v>-0.5</v>
      </c>
      <c r="AA34" s="4">
        <v>1.0</v>
      </c>
      <c r="AB34" s="4">
        <v>0.0</v>
      </c>
      <c r="AC34" s="3" t="s">
        <v>326</v>
      </c>
    </row>
    <row r="35" spans="8:8" ht="18.75" customHeight="1">
      <c r="A35" s="7" t="s">
        <v>329</v>
      </c>
      <c r="B35" s="8" t="s">
        <v>273</v>
      </c>
      <c r="C35" s="8" t="s">
        <v>330</v>
      </c>
      <c r="D35" s="8" t="s">
        <v>275</v>
      </c>
      <c r="E35" s="9">
        <v>790.0</v>
      </c>
      <c r="F35" s="10">
        <v>797.9</v>
      </c>
      <c r="G35" s="10">
        <v>663.6</v>
      </c>
      <c r="H35" s="10">
        <v>869.0</v>
      </c>
      <c r="I35" s="10">
        <v>655.7</v>
      </c>
      <c r="J35" s="10">
        <v>734.7</v>
      </c>
      <c r="K35" s="10">
        <v>790.0</v>
      </c>
      <c r="L35" s="10">
        <v>726.8</v>
      </c>
      <c r="M35" s="10">
        <v>774.2</v>
      </c>
      <c r="N35" s="10">
        <v>869.0</v>
      </c>
      <c r="O35" s="10">
        <v>805.8</v>
      </c>
      <c r="P35" s="10">
        <v>837.4</v>
      </c>
      <c r="Q35" s="10">
        <v>821.6</v>
      </c>
      <c r="R35" s="10">
        <v>663.6</v>
      </c>
      <c r="S35" s="10">
        <v>876.9</v>
      </c>
      <c r="T35" s="10">
        <v>821.6</v>
      </c>
      <c r="U35" s="10">
        <f>ROUND(AVERAGE(F35:T35),1)</f>
        <v>780.5</v>
      </c>
      <c r="V35" s="10">
        <f>MIN(F35:T35)</f>
        <v>655.7</v>
      </c>
      <c r="W35" s="10">
        <f>MAX(F35:T35)</f>
        <v>876.9</v>
      </c>
      <c r="X35" s="13">
        <f>ROUND(STDEV(F35:T35),1)</f>
        <v>75.8</v>
      </c>
      <c r="Y35" s="13">
        <f>ROUND(X35/U35*100,1)</f>
        <v>9.7</v>
      </c>
      <c r="Z35" s="13">
        <f>ROUND((U35-E35)/E35*100,1)</f>
        <v>-1.2</v>
      </c>
      <c r="AA35" s="9">
        <v>0.0</v>
      </c>
      <c r="AB35" s="9">
        <v>0.0</v>
      </c>
      <c r="AC35" s="8" t="s">
        <v>132</v>
      </c>
    </row>
    <row r="36" spans="8:8" ht="18.75" customHeight="1">
      <c r="A36" s="2" t="s">
        <v>334</v>
      </c>
      <c r="B36" s="3" t="s">
        <v>273</v>
      </c>
      <c r="C36" s="3" t="s">
        <v>335</v>
      </c>
      <c r="D36" s="3" t="s">
        <v>295</v>
      </c>
      <c r="E36" s="4">
        <v>2240.0</v>
      </c>
      <c r="F36" s="5">
        <v>2217.6</v>
      </c>
      <c r="G36" s="5">
        <v>2262.4</v>
      </c>
      <c r="H36" s="5">
        <v>2419.2</v>
      </c>
      <c r="I36" s="5">
        <v>1814.4</v>
      </c>
      <c r="J36" s="5">
        <v>2038.4</v>
      </c>
      <c r="K36" s="5">
        <v>2195.2</v>
      </c>
      <c r="L36" s="5">
        <v>2016.0</v>
      </c>
      <c r="M36" s="5">
        <v>2150.4</v>
      </c>
      <c r="N36" s="5">
        <v>2419.2</v>
      </c>
      <c r="O36" s="5">
        <v>2240.0</v>
      </c>
      <c r="P36" s="5">
        <v>2329.6</v>
      </c>
      <c r="Q36" s="5">
        <v>2284.8</v>
      </c>
      <c r="R36" s="5">
        <v>2262.4</v>
      </c>
      <c r="S36" s="5">
        <v>2441.6</v>
      </c>
      <c r="T36" s="5">
        <v>2284.8</v>
      </c>
      <c r="U36" s="5">
        <f>ROUND(AVERAGE(F36:T36),1)</f>
        <v>2225.1</v>
      </c>
      <c r="V36" s="5">
        <f>MIN(F36:T36)</f>
        <v>1814.4</v>
      </c>
      <c r="W36" s="5">
        <f>MAX(F36:T36)</f>
        <v>2441.6</v>
      </c>
      <c r="X36" s="12">
        <f>ROUND(STDEV(F36:T36),1)</f>
        <v>168.4</v>
      </c>
      <c r="Y36" s="12">
        <f>ROUND(X36/U36*100,1)</f>
        <v>7.6</v>
      </c>
      <c r="Z36" s="12">
        <f>ROUND((U36-E36)/E36*100,1)</f>
        <v>-0.7</v>
      </c>
      <c r="AA36" s="4">
        <v>0.0</v>
      </c>
      <c r="AB36" s="4">
        <v>0.0</v>
      </c>
      <c r="AC36" s="3" t="s">
        <v>338</v>
      </c>
    </row>
    <row r="37" spans="8:8" ht="18.75" customHeight="1">
      <c r="A37" s="7" t="s">
        <v>340</v>
      </c>
      <c r="B37" s="8" t="s">
        <v>273</v>
      </c>
      <c r="C37" s="8" t="s">
        <v>341</v>
      </c>
      <c r="D37" s="8" t="s">
        <v>342</v>
      </c>
      <c r="E37" s="9">
        <v>3450.0</v>
      </c>
      <c r="F37" s="10">
        <v>3346.5</v>
      </c>
      <c r="G37" s="10">
        <v>3415.5</v>
      </c>
      <c r="H37" s="10">
        <v>3657.0</v>
      </c>
      <c r="I37" s="10">
        <v>2725.5</v>
      </c>
      <c r="J37" s="10">
        <v>3070.5</v>
      </c>
      <c r="K37" s="10">
        <v>3312.0</v>
      </c>
      <c r="L37" s="10">
        <v>3036.0</v>
      </c>
      <c r="M37" s="10">
        <v>3243.0</v>
      </c>
      <c r="N37" s="10">
        <v>3657.0</v>
      </c>
      <c r="O37" s="10">
        <v>4036.5</v>
      </c>
      <c r="P37" s="10">
        <v>3519.0</v>
      </c>
      <c r="Q37" s="10">
        <v>3450.0</v>
      </c>
      <c r="R37" s="10">
        <v>3415.5</v>
      </c>
      <c r="S37" s="10">
        <v>3691.5</v>
      </c>
      <c r="T37" s="10">
        <v>3450.0</v>
      </c>
      <c r="U37" s="10">
        <f>ROUND(AVERAGE(F37:T37),1)</f>
        <v>3401.7</v>
      </c>
      <c r="V37" s="10">
        <f>MIN(F37:T37)</f>
        <v>2725.5</v>
      </c>
      <c r="W37" s="10">
        <f>MAX(F37:T37)</f>
        <v>4036.5</v>
      </c>
      <c r="X37" s="13">
        <f>ROUND(STDEV(F37:T37),1)</f>
        <v>313.2</v>
      </c>
      <c r="Y37" s="13">
        <f>ROUND(X37/U37*100,1)</f>
        <v>9.2</v>
      </c>
      <c r="Z37" s="13">
        <f>ROUND((U37-E37)/E37*100,1)</f>
        <v>-1.4</v>
      </c>
      <c r="AA37" s="9">
        <v>1.0</v>
      </c>
      <c r="AB37" s="9">
        <v>1.0</v>
      </c>
      <c r="AC37" s="8" t="s">
        <v>345</v>
      </c>
    </row>
    <row r="38" spans="8:8" ht="18.75" customHeight="1">
      <c r="A38" s="2" t="s">
        <v>348</v>
      </c>
      <c r="B38" s="3" t="s">
        <v>349</v>
      </c>
      <c r="C38" s="3" t="s">
        <v>350</v>
      </c>
      <c r="D38" s="3" t="s">
        <v>351</v>
      </c>
      <c r="E38" s="4">
        <v>3280.0</v>
      </c>
      <c r="F38" s="5">
        <v>3116.0</v>
      </c>
      <c r="G38" s="5">
        <v>3181.6</v>
      </c>
      <c r="H38" s="5">
        <v>3411.2</v>
      </c>
      <c r="I38" s="5">
        <v>2525.6</v>
      </c>
      <c r="J38" s="5">
        <v>2853.6</v>
      </c>
      <c r="K38" s="5">
        <v>3083.2</v>
      </c>
      <c r="L38" s="5">
        <v>3444.0</v>
      </c>
      <c r="M38" s="5">
        <v>3017.6</v>
      </c>
      <c r="N38" s="5">
        <v>3411.2</v>
      </c>
      <c r="O38" s="5">
        <v>3772.0</v>
      </c>
      <c r="P38" s="5">
        <v>3280.0</v>
      </c>
      <c r="Q38" s="5">
        <v>3214.4</v>
      </c>
      <c r="R38" s="5">
        <v>3181.6</v>
      </c>
      <c r="S38" s="5">
        <v>3444.0</v>
      </c>
      <c r="T38" s="5">
        <v>3837.6</v>
      </c>
      <c r="U38" s="5">
        <f>ROUND(AVERAGE(F38:T38),1)</f>
        <v>3251.6</v>
      </c>
      <c r="V38" s="5">
        <f>MIN(F38:T38)</f>
        <v>2525.6</v>
      </c>
      <c r="W38" s="5">
        <f>MAX(F38:T38)</f>
        <v>3837.6</v>
      </c>
      <c r="X38" s="12">
        <f>ROUND(STDEV(F38:T38),1)</f>
        <v>331.5</v>
      </c>
      <c r="Y38" s="12">
        <f>ROUND(X38/U38*100,1)</f>
        <v>10.2</v>
      </c>
      <c r="Z38" s="12">
        <f>ROUND((U38-E38)/E38*100,1)</f>
        <v>-0.9</v>
      </c>
      <c r="AA38" s="4">
        <v>1.0</v>
      </c>
      <c r="AB38" s="4">
        <v>2.0</v>
      </c>
      <c r="AC38" s="3" t="s">
        <v>354</v>
      </c>
    </row>
    <row r="39" spans="8:8" ht="18.75" customHeight="1">
      <c r="A39" s="7" t="s">
        <v>357</v>
      </c>
      <c r="B39" s="8" t="s">
        <v>349</v>
      </c>
      <c r="C39" s="8" t="s">
        <v>358</v>
      </c>
      <c r="D39" s="8" t="s">
        <v>351</v>
      </c>
      <c r="E39" s="9">
        <v>2650.0</v>
      </c>
      <c r="F39" s="10">
        <v>2464.5</v>
      </c>
      <c r="G39" s="10">
        <v>2517.5</v>
      </c>
      <c r="H39" s="10">
        <v>2703.0</v>
      </c>
      <c r="I39" s="10">
        <v>2491.0</v>
      </c>
      <c r="J39" s="10">
        <v>2252.5</v>
      </c>
      <c r="K39" s="10">
        <v>2438.0</v>
      </c>
      <c r="L39" s="10">
        <v>2729.5</v>
      </c>
      <c r="M39" s="10">
        <v>2385.0</v>
      </c>
      <c r="N39" s="10">
        <v>2703.0</v>
      </c>
      <c r="O39" s="10">
        <v>2994.5</v>
      </c>
      <c r="P39" s="10">
        <v>2597.0</v>
      </c>
      <c r="Q39" s="10">
        <v>3047.5</v>
      </c>
      <c r="R39" s="10">
        <v>2517.5</v>
      </c>
      <c r="S39" s="10">
        <v>2729.5</v>
      </c>
      <c r="T39" s="10">
        <v>3047.5</v>
      </c>
      <c r="U39" s="10">
        <f>ROUND(AVERAGE(F39:T39),1)</f>
        <v>2641.2</v>
      </c>
      <c r="V39" s="10">
        <f>MIN(F39:T39)</f>
        <v>2252.5</v>
      </c>
      <c r="W39" s="10">
        <f>MAX(F39:T39)</f>
        <v>3047.5</v>
      </c>
      <c r="X39" s="13">
        <f>ROUND(STDEV(F39:T39),1)</f>
        <v>242.4</v>
      </c>
      <c r="Y39" s="13">
        <f>ROUND(X39/U39*100,1)</f>
        <v>9.2</v>
      </c>
      <c r="Z39" s="13">
        <f>ROUND((U39-E39)/E39*100,1)</f>
        <v>-0.3</v>
      </c>
      <c r="AA39" s="9">
        <v>0.0</v>
      </c>
      <c r="AB39" s="9">
        <v>2.0</v>
      </c>
      <c r="AC39" s="8" t="s">
        <v>46</v>
      </c>
    </row>
    <row r="40" spans="8:8" ht="18.75" customHeight="1">
      <c r="A40" s="2" t="s">
        <v>366</v>
      </c>
      <c r="B40" s="3" t="s">
        <v>349</v>
      </c>
      <c r="C40" s="3" t="s">
        <v>367</v>
      </c>
      <c r="D40" s="3" t="s">
        <v>351</v>
      </c>
      <c r="E40" s="4">
        <v>2320.0</v>
      </c>
      <c r="F40" s="5">
        <v>2552.0</v>
      </c>
      <c r="G40" s="5">
        <v>2157.6</v>
      </c>
      <c r="H40" s="5">
        <v>2320.0</v>
      </c>
      <c r="I40" s="5">
        <v>2134.4</v>
      </c>
      <c r="J40" s="5">
        <v>1925.6</v>
      </c>
      <c r="K40" s="5">
        <v>2088.0</v>
      </c>
      <c r="L40" s="5">
        <v>2343.2</v>
      </c>
      <c r="M40" s="5">
        <v>2041.6</v>
      </c>
      <c r="N40" s="5">
        <v>2760.8</v>
      </c>
      <c r="O40" s="5">
        <v>2575.2</v>
      </c>
      <c r="P40" s="5">
        <v>2227.2</v>
      </c>
      <c r="Q40" s="5">
        <v>2621.6</v>
      </c>
      <c r="R40" s="5">
        <v>2157.6</v>
      </c>
      <c r="S40" s="5">
        <v>2343.2</v>
      </c>
      <c r="T40" s="5">
        <v>2621.6</v>
      </c>
      <c r="U40" s="5">
        <f>ROUND(AVERAGE(F40:T40),1)</f>
        <v>2324.6</v>
      </c>
      <c r="V40" s="5">
        <f>MIN(F40:T40)</f>
        <v>1925.6</v>
      </c>
      <c r="W40" s="5">
        <f>MAX(F40:T40)</f>
        <v>2760.8</v>
      </c>
      <c r="X40" s="12">
        <f>ROUND(STDEV(F40:T40),1)</f>
        <v>250.5</v>
      </c>
      <c r="Y40" s="12">
        <f>ROUND(X40/U40*100,1)</f>
        <v>10.8</v>
      </c>
      <c r="Z40" s="12">
        <f>ROUND((U40-E40)/E40*100,1)</f>
        <v>0.2</v>
      </c>
      <c r="AA40" s="4">
        <v>0.0</v>
      </c>
      <c r="AB40" s="4">
        <v>1.0</v>
      </c>
      <c r="AC40" s="3" t="s">
        <v>370</v>
      </c>
    </row>
    <row r="41" spans="8:8" ht="18.75" customHeight="1">
      <c r="A41" s="7" t="s">
        <v>372</v>
      </c>
      <c r="B41" s="8" t="s">
        <v>349</v>
      </c>
      <c r="C41" s="8" t="s">
        <v>373</v>
      </c>
      <c r="D41" s="8" t="s">
        <v>351</v>
      </c>
      <c r="E41" s="9">
        <v>2890.0</v>
      </c>
      <c r="F41" s="10">
        <v>3121.2</v>
      </c>
      <c r="G41" s="10">
        <v>2629.9</v>
      </c>
      <c r="H41" s="10">
        <v>2832.2</v>
      </c>
      <c r="I41" s="10">
        <v>2601.0</v>
      </c>
      <c r="J41" s="10">
        <v>2340.9</v>
      </c>
      <c r="K41" s="10">
        <v>3092.3</v>
      </c>
      <c r="L41" s="10">
        <v>2861.1</v>
      </c>
      <c r="M41" s="10">
        <v>2485.4</v>
      </c>
      <c r="N41" s="10">
        <v>3381.3</v>
      </c>
      <c r="O41" s="10">
        <v>3150.1</v>
      </c>
      <c r="P41" s="10">
        <v>2716.6</v>
      </c>
      <c r="Q41" s="10">
        <v>3207.9</v>
      </c>
      <c r="R41" s="10">
        <v>2629.9</v>
      </c>
      <c r="S41" s="10">
        <v>2861.1</v>
      </c>
      <c r="T41" s="10">
        <v>3207.9</v>
      </c>
      <c r="U41" s="10">
        <f>ROUND(AVERAGE(F41:T41),1)</f>
        <v>2874.6</v>
      </c>
      <c r="V41" s="10">
        <f>MIN(F41:T41)</f>
        <v>2340.9</v>
      </c>
      <c r="W41" s="10">
        <f>MAX(F41:T41)</f>
        <v>3381.3</v>
      </c>
      <c r="X41" s="13">
        <f>ROUND(STDEV(F41:T41),1)</f>
        <v>307.2</v>
      </c>
      <c r="Y41" s="13">
        <f>ROUND(X41/U41*100,1)</f>
        <v>10.7</v>
      </c>
      <c r="Z41" s="13">
        <f>ROUND((U41-E41)/E41*100,1)</f>
        <v>-0.5</v>
      </c>
      <c r="AA41" s="9">
        <v>0.0</v>
      </c>
      <c r="AB41" s="9">
        <v>1.0</v>
      </c>
      <c r="AC41" s="8" t="s">
        <v>377</v>
      </c>
    </row>
    <row r="42" spans="8:8" ht="18.75" customHeight="1">
      <c r="A42" s="2" t="s">
        <v>383</v>
      </c>
      <c r="B42" s="3" t="s">
        <v>349</v>
      </c>
      <c r="C42" s="3" t="s">
        <v>384</v>
      </c>
      <c r="D42" s="3" t="s">
        <v>351</v>
      </c>
      <c r="E42" s="4">
        <v>3350.0</v>
      </c>
      <c r="F42" s="5">
        <v>3551.0</v>
      </c>
      <c r="G42" s="5">
        <v>2981.5</v>
      </c>
      <c r="H42" s="5">
        <v>3852.5</v>
      </c>
      <c r="I42" s="5">
        <v>2948.0</v>
      </c>
      <c r="J42" s="5">
        <v>2646.5</v>
      </c>
      <c r="K42" s="5">
        <v>3517.5</v>
      </c>
      <c r="L42" s="5">
        <v>3249.5</v>
      </c>
      <c r="M42" s="5">
        <v>2814.0</v>
      </c>
      <c r="N42" s="5">
        <v>3852.5</v>
      </c>
      <c r="O42" s="5">
        <v>3584.5</v>
      </c>
      <c r="P42" s="5">
        <v>3082.0</v>
      </c>
      <c r="Q42" s="5">
        <v>3651.5</v>
      </c>
      <c r="R42" s="5">
        <v>2981.5</v>
      </c>
      <c r="S42" s="5">
        <v>3886.0</v>
      </c>
      <c r="T42" s="5">
        <v>3651.5</v>
      </c>
      <c r="U42" s="5">
        <f>ROUND(AVERAGE(F42:T42),1)</f>
        <v>3350.0</v>
      </c>
      <c r="V42" s="5">
        <f>MIN(F42:T42)</f>
        <v>2646.5</v>
      </c>
      <c r="W42" s="5">
        <f>MAX(F42:T42)</f>
        <v>3886.0</v>
      </c>
      <c r="X42" s="12">
        <f>ROUND(STDEV(F42:T42),1)</f>
        <v>413.6</v>
      </c>
      <c r="Y42" s="12">
        <f>ROUND(X42/U42*100,1)</f>
        <v>12.3</v>
      </c>
      <c r="Z42" s="12">
        <f>ROUND((U42-E42)/E42*100,1)</f>
        <v>0.0</v>
      </c>
      <c r="AA42" s="4">
        <v>1.0</v>
      </c>
      <c r="AB42" s="4">
        <v>3.0</v>
      </c>
      <c r="AC42" s="3" t="s">
        <v>388</v>
      </c>
    </row>
    <row r="43" spans="8:8" ht="18.75" customHeight="1">
      <c r="A43" s="7" t="s">
        <v>391</v>
      </c>
      <c r="B43" s="8" t="s">
        <v>392</v>
      </c>
      <c r="C43" s="8" t="s">
        <v>393</v>
      </c>
      <c r="D43" s="8" t="s">
        <v>394</v>
      </c>
      <c r="E43" s="9">
        <v>3150.0</v>
      </c>
      <c r="F43" s="10">
        <v>3276.0</v>
      </c>
      <c r="G43" s="10">
        <v>2740.5</v>
      </c>
      <c r="H43" s="10">
        <v>3559.5</v>
      </c>
      <c r="I43" s="10">
        <v>2709.0</v>
      </c>
      <c r="J43" s="10">
        <v>2425.5</v>
      </c>
      <c r="K43" s="10">
        <v>3244.5</v>
      </c>
      <c r="L43" s="10">
        <v>2992.5</v>
      </c>
      <c r="M43" s="10">
        <v>2583.0</v>
      </c>
      <c r="N43" s="10">
        <v>3559.5</v>
      </c>
      <c r="O43" s="10">
        <v>3307.5</v>
      </c>
      <c r="P43" s="10">
        <v>3433.5</v>
      </c>
      <c r="Q43" s="10">
        <v>3370.5</v>
      </c>
      <c r="R43" s="10">
        <v>2740.5</v>
      </c>
      <c r="S43" s="10">
        <v>3591.0</v>
      </c>
      <c r="T43" s="10">
        <v>3370.5</v>
      </c>
      <c r="U43" s="10">
        <f>ROUND(AVERAGE(F43:T43),1)</f>
        <v>3126.9</v>
      </c>
      <c r="V43" s="10">
        <f>MIN(F43:T43)</f>
        <v>2425.5</v>
      </c>
      <c r="W43" s="10">
        <f>MAX(F43:T43)</f>
        <v>3591.0</v>
      </c>
      <c r="X43" s="13">
        <f>ROUND(STDEV(F43:T43),1)</f>
        <v>391.9</v>
      </c>
      <c r="Y43" s="13">
        <f>ROUND(X43/U43*100,1)</f>
        <v>12.5</v>
      </c>
      <c r="Z43" s="13">
        <f>ROUND((U43-E43)/E43*100,1)</f>
        <v>-0.7</v>
      </c>
      <c r="AA43" s="9">
        <v>1.0</v>
      </c>
      <c r="AB43" s="9">
        <v>0.0</v>
      </c>
      <c r="AC43" s="8" t="s">
        <v>397</v>
      </c>
    </row>
    <row r="44" spans="8:8" ht="18.75" customHeight="1">
      <c r="A44" s="2" t="s">
        <v>400</v>
      </c>
      <c r="B44" s="3" t="s">
        <v>392</v>
      </c>
      <c r="C44" s="3" t="s">
        <v>401</v>
      </c>
      <c r="D44" s="3" t="s">
        <v>394</v>
      </c>
      <c r="E44" s="4">
        <v>2750.0</v>
      </c>
      <c r="F44" s="5">
        <v>2805.0</v>
      </c>
      <c r="G44" s="5">
        <v>2337.5</v>
      </c>
      <c r="H44" s="5">
        <v>3052.5</v>
      </c>
      <c r="I44" s="5">
        <v>2310.0</v>
      </c>
      <c r="J44" s="5">
        <v>2062.5</v>
      </c>
      <c r="K44" s="5">
        <v>2777.5</v>
      </c>
      <c r="L44" s="5">
        <v>2557.5</v>
      </c>
      <c r="M44" s="5">
        <v>2722.5</v>
      </c>
      <c r="N44" s="5">
        <v>3052.5</v>
      </c>
      <c r="O44" s="5">
        <v>2832.5</v>
      </c>
      <c r="P44" s="5">
        <v>2942.5</v>
      </c>
      <c r="Q44" s="5">
        <v>2887.5</v>
      </c>
      <c r="R44" s="5">
        <v>2337.5</v>
      </c>
      <c r="S44" s="5">
        <v>3080.0</v>
      </c>
      <c r="T44" s="5">
        <v>2887.5</v>
      </c>
      <c r="U44" s="5">
        <f>ROUND(AVERAGE(F44:T44),1)</f>
        <v>2709.7</v>
      </c>
      <c r="V44" s="5">
        <f>MIN(F44:T44)</f>
        <v>2062.5</v>
      </c>
      <c r="W44" s="5">
        <f>MAX(F44:T44)</f>
        <v>3080.0</v>
      </c>
      <c r="X44" s="12">
        <f>ROUND(STDEV(F44:T44),1)</f>
        <v>315.9</v>
      </c>
      <c r="Y44" s="12">
        <f>ROUND(X44/U44*100,1)</f>
        <v>11.7</v>
      </c>
      <c r="Z44" s="12">
        <f>ROUND((U44-E44)/E44*100,1)</f>
        <v>-1.5</v>
      </c>
      <c r="AA44" s="4">
        <v>1.0</v>
      </c>
      <c r="AB44" s="4">
        <v>0.0</v>
      </c>
      <c r="AC44" s="3" t="s">
        <v>397</v>
      </c>
    </row>
    <row r="45" spans="8:8" ht="18.75" customHeight="1">
      <c r="A45" s="7" t="s">
        <v>406</v>
      </c>
      <c r="B45" s="8" t="s">
        <v>392</v>
      </c>
      <c r="C45" s="8" t="s">
        <v>407</v>
      </c>
      <c r="D45" s="8" t="s">
        <v>409</v>
      </c>
      <c r="E45" s="9">
        <v>3800.0</v>
      </c>
      <c r="F45" s="10">
        <v>3800.0</v>
      </c>
      <c r="G45" s="10">
        <v>3154.0</v>
      </c>
      <c r="H45" s="10">
        <v>4142.0</v>
      </c>
      <c r="I45" s="10">
        <v>3116.0</v>
      </c>
      <c r="J45" s="10">
        <v>3496.0</v>
      </c>
      <c r="K45" s="10">
        <v>3762.0</v>
      </c>
      <c r="L45" s="10">
        <v>3458.0</v>
      </c>
      <c r="M45" s="10">
        <v>3686.0</v>
      </c>
      <c r="N45" s="10">
        <v>4142.0</v>
      </c>
      <c r="O45" s="10">
        <v>3838.0</v>
      </c>
      <c r="P45" s="10">
        <v>3990.0</v>
      </c>
      <c r="Q45" s="10">
        <v>3914.0</v>
      </c>
      <c r="R45" s="10">
        <v>3876.0</v>
      </c>
      <c r="S45" s="10">
        <v>4180.0</v>
      </c>
      <c r="T45" s="10">
        <v>3914.0</v>
      </c>
      <c r="U45" s="10">
        <f>ROUND(AVERAGE(F45:T45),1)</f>
        <v>3764.5</v>
      </c>
      <c r="V45" s="10">
        <f>MIN(F45:T45)</f>
        <v>3116.0</v>
      </c>
      <c r="W45" s="10">
        <f>MAX(F45:T45)</f>
        <v>4180.0</v>
      </c>
      <c r="X45" s="13">
        <f>ROUND(STDEV(F45:T45),1)</f>
        <v>331.4</v>
      </c>
      <c r="Y45" s="13">
        <f>ROUND(X45/U45*100,1)</f>
        <v>8.8</v>
      </c>
      <c r="Z45" s="13">
        <f>ROUND((U45-E45)/E45*100,1)</f>
        <v>-0.9</v>
      </c>
      <c r="AA45" s="9">
        <v>0.0</v>
      </c>
      <c r="AB45" s="9">
        <v>0.0</v>
      </c>
      <c r="AC45" s="8" t="s">
        <v>412</v>
      </c>
    </row>
    <row r="46" spans="8:8" ht="18.75" customHeight="1">
      <c r="A46" s="2" t="s">
        <v>414</v>
      </c>
      <c r="B46" s="3" t="s">
        <v>392</v>
      </c>
      <c r="C46" s="3" t="s">
        <v>415</v>
      </c>
      <c r="D46" s="3" t="s">
        <v>409</v>
      </c>
      <c r="E46" s="4">
        <v>1050.0</v>
      </c>
      <c r="F46" s="5">
        <v>1029.0</v>
      </c>
      <c r="G46" s="5">
        <v>1050.0</v>
      </c>
      <c r="H46" s="5">
        <v>1123.5</v>
      </c>
      <c r="I46" s="5">
        <v>840.0</v>
      </c>
      <c r="J46" s="5">
        <v>945.0</v>
      </c>
      <c r="K46" s="5">
        <v>1018.5</v>
      </c>
      <c r="L46" s="5">
        <v>934.5</v>
      </c>
      <c r="M46" s="5">
        <v>997.5</v>
      </c>
      <c r="N46" s="5">
        <v>1123.5</v>
      </c>
      <c r="O46" s="5">
        <v>1239.0</v>
      </c>
      <c r="P46" s="5">
        <v>1081.5</v>
      </c>
      <c r="Q46" s="5">
        <v>1060.5</v>
      </c>
      <c r="R46" s="5">
        <v>1050.0</v>
      </c>
      <c r="S46" s="5">
        <v>1134.0</v>
      </c>
      <c r="T46" s="5">
        <v>1060.5</v>
      </c>
      <c r="U46" s="5">
        <f>ROUND(AVERAGE(F46:T46),1)</f>
        <v>1045.8</v>
      </c>
      <c r="V46" s="5">
        <f>MIN(F46:T46)</f>
        <v>840.0</v>
      </c>
      <c r="W46" s="5">
        <f>MAX(F46:T46)</f>
        <v>1239.0</v>
      </c>
      <c r="X46" s="12">
        <f>ROUND(STDEV(F46:T46),1)</f>
        <v>95.3</v>
      </c>
      <c r="Y46" s="12">
        <f>ROUND(X46/U46*100,1)</f>
        <v>9.1</v>
      </c>
      <c r="Z46" s="12">
        <f>ROUND((U46-E46)/E46*100,1)</f>
        <v>-0.4</v>
      </c>
      <c r="AA46" s="4">
        <v>0.0</v>
      </c>
      <c r="AB46" s="4">
        <v>1.0</v>
      </c>
      <c r="AC46" s="3" t="s">
        <v>171</v>
      </c>
    </row>
    <row r="47" spans="8:8" ht="18.75" customHeight="1">
      <c r="A47" s="7" t="s">
        <v>420</v>
      </c>
      <c r="B47" s="8" t="s">
        <v>392</v>
      </c>
      <c r="C47" s="8" t="s">
        <v>421</v>
      </c>
      <c r="D47" s="8" t="s">
        <v>409</v>
      </c>
      <c r="E47" s="9">
        <v>540.0</v>
      </c>
      <c r="F47" s="10">
        <v>499.0</v>
      </c>
      <c r="G47" s="10">
        <v>548.6</v>
      </c>
      <c r="H47" s="10">
        <v>563.8</v>
      </c>
      <c r="I47" s="10">
        <v>395.3</v>
      </c>
      <c r="J47" s="10">
        <v>488.2</v>
      </c>
      <c r="K47" s="10">
        <v>503.3</v>
      </c>
      <c r="L47" s="10">
        <v>601.6</v>
      </c>
      <c r="M47" s="10">
        <v>508.7</v>
      </c>
      <c r="N47" s="10">
        <v>550.8</v>
      </c>
      <c r="O47" s="10">
        <v>649.1</v>
      </c>
      <c r="P47" s="10">
        <v>545.4</v>
      </c>
      <c r="Q47" s="10">
        <v>511.9</v>
      </c>
      <c r="R47" s="10">
        <v>545.4</v>
      </c>
      <c r="S47" s="10">
        <v>565.9</v>
      </c>
      <c r="T47" s="10">
        <v>505.4</v>
      </c>
      <c r="U47" s="10">
        <f>ROUND(AVERAGE(F47:T47),1)</f>
        <v>532.2</v>
      </c>
      <c r="V47" s="10">
        <f>MIN(F47:T47)</f>
        <v>395.3</v>
      </c>
      <c r="W47" s="10">
        <f>MAX(F47:T47)</f>
        <v>649.1</v>
      </c>
      <c r="X47" s="13">
        <f>ROUND(STDEV(F47:T47),1)</f>
        <v>57.2</v>
      </c>
      <c r="Y47" s="13">
        <f>ROUND(X47/U47*100,1)</f>
        <v>10.7</v>
      </c>
      <c r="Z47" s="13">
        <f>ROUND((U47-E47)/E47*100,1)</f>
        <v>-1.4</v>
      </c>
      <c r="AA47" s="9">
        <v>1.0</v>
      </c>
      <c r="AB47" s="9">
        <v>1.0</v>
      </c>
      <c r="AC47" s="8" t="s">
        <v>424</v>
      </c>
    </row>
    <row r="48" spans="8:8" ht="18.75" customHeight="1">
      <c r="A48" s="2" t="s">
        <v>426</v>
      </c>
      <c r="B48" s="3" t="s">
        <v>392</v>
      </c>
      <c r="C48" s="3" t="s">
        <v>427</v>
      </c>
      <c r="D48" s="3" t="s">
        <v>428</v>
      </c>
      <c r="E48" s="4">
        <v>765.0</v>
      </c>
      <c r="F48" s="5">
        <v>719.1</v>
      </c>
      <c r="G48" s="5">
        <v>734.4</v>
      </c>
      <c r="H48" s="5">
        <v>788.0</v>
      </c>
      <c r="I48" s="5">
        <v>726.8</v>
      </c>
      <c r="J48" s="5">
        <v>657.9</v>
      </c>
      <c r="K48" s="5">
        <v>711.4</v>
      </c>
      <c r="L48" s="5">
        <v>795.6</v>
      </c>
      <c r="M48" s="5">
        <v>696.1</v>
      </c>
      <c r="N48" s="5">
        <v>788.0</v>
      </c>
      <c r="O48" s="5">
        <v>872.1</v>
      </c>
      <c r="P48" s="5">
        <v>757.4</v>
      </c>
      <c r="Q48" s="5">
        <v>742.1</v>
      </c>
      <c r="R48" s="5">
        <v>734.4</v>
      </c>
      <c r="S48" s="5">
        <v>795.6</v>
      </c>
      <c r="T48" s="5">
        <v>887.4</v>
      </c>
      <c r="U48" s="5">
        <f>ROUND(AVERAGE(F48:T48),1)</f>
        <v>760.4</v>
      </c>
      <c r="V48" s="5">
        <f>MIN(F48:T48)</f>
        <v>657.9</v>
      </c>
      <c r="W48" s="5">
        <f>MAX(F48:T48)</f>
        <v>887.4</v>
      </c>
      <c r="X48" s="12">
        <f>ROUND(STDEV(F48:T48),1)</f>
        <v>62.2</v>
      </c>
      <c r="Y48" s="12">
        <f>ROUND(X48/U48*100,1)</f>
        <v>8.2</v>
      </c>
      <c r="Z48" s="12">
        <f>ROUND((U48-E48)/E48*100,1)</f>
        <v>-0.6</v>
      </c>
      <c r="AA48" s="4">
        <v>0.0</v>
      </c>
      <c r="AB48" s="4">
        <v>1.0</v>
      </c>
      <c r="AC48" s="3" t="s">
        <v>171</v>
      </c>
    </row>
    <row r="49" spans="8:8" ht="18.75" customHeight="1">
      <c r="A49" s="7" t="s">
        <v>432</v>
      </c>
      <c r="B49" s="8" t="s">
        <v>392</v>
      </c>
      <c r="C49" s="8" t="s">
        <v>433</v>
      </c>
      <c r="D49" s="8" t="s">
        <v>428</v>
      </c>
      <c r="E49" s="9">
        <v>915.0</v>
      </c>
      <c r="F49" s="10">
        <v>1015.7</v>
      </c>
      <c r="G49" s="10">
        <v>860.1</v>
      </c>
      <c r="H49" s="10">
        <v>924.1</v>
      </c>
      <c r="I49" s="10">
        <v>850.9</v>
      </c>
      <c r="J49" s="10">
        <v>768.6</v>
      </c>
      <c r="K49" s="10">
        <v>832.6</v>
      </c>
      <c r="L49" s="10">
        <v>933.3</v>
      </c>
      <c r="M49" s="10">
        <v>814.4</v>
      </c>
      <c r="N49" s="10">
        <v>924.1</v>
      </c>
      <c r="O49" s="10">
        <v>1024.8</v>
      </c>
      <c r="P49" s="10">
        <v>887.5</v>
      </c>
      <c r="Q49" s="10">
        <v>1043.1</v>
      </c>
      <c r="R49" s="10">
        <v>860.1</v>
      </c>
      <c r="S49" s="10">
        <v>933.3</v>
      </c>
      <c r="T49" s="10">
        <v>1043.1</v>
      </c>
      <c r="U49" s="10">
        <f>ROUND(AVERAGE(F49:T49),1)</f>
        <v>914.4</v>
      </c>
      <c r="V49" s="10">
        <f>MIN(F49:T49)</f>
        <v>768.6</v>
      </c>
      <c r="W49" s="10">
        <f>MAX(F49:T49)</f>
        <v>1043.1</v>
      </c>
      <c r="X49" s="13">
        <f>ROUND(STDEV(F49:T49),1)</f>
        <v>86.6</v>
      </c>
      <c r="Y49" s="13">
        <f>ROUND(X49/U49*100,1)</f>
        <v>9.5</v>
      </c>
      <c r="Z49" s="13">
        <f>ROUND((U49-E49)/E49*100,1)</f>
        <v>-0.1</v>
      </c>
      <c r="AA49" s="9">
        <v>0.0</v>
      </c>
      <c r="AB49" s="9">
        <v>0.0</v>
      </c>
      <c r="AC49" s="8" t="s">
        <v>171</v>
      </c>
    </row>
    <row r="50" spans="8:8" ht="18.75" customHeight="1">
      <c r="A50" s="2" t="s">
        <v>437</v>
      </c>
      <c r="B50" s="3" t="s">
        <v>392</v>
      </c>
      <c r="C50" s="3" t="s">
        <v>438</v>
      </c>
      <c r="D50" s="3" t="s">
        <v>439</v>
      </c>
      <c r="E50" s="4">
        <v>845.0</v>
      </c>
      <c r="F50" s="5">
        <v>921.1</v>
      </c>
      <c r="G50" s="5">
        <v>777.4</v>
      </c>
      <c r="H50" s="5">
        <v>836.5</v>
      </c>
      <c r="I50" s="5">
        <v>769.0</v>
      </c>
      <c r="J50" s="5">
        <v>692.9</v>
      </c>
      <c r="K50" s="5">
        <v>752.0</v>
      </c>
      <c r="L50" s="5">
        <v>845.0</v>
      </c>
      <c r="M50" s="5">
        <v>735.1</v>
      </c>
      <c r="N50" s="5">
        <v>997.1</v>
      </c>
      <c r="O50" s="5">
        <v>929.5</v>
      </c>
      <c r="P50" s="5">
        <v>802.8</v>
      </c>
      <c r="Q50" s="5">
        <v>946.4</v>
      </c>
      <c r="R50" s="5">
        <v>777.4</v>
      </c>
      <c r="S50" s="5">
        <v>845.0</v>
      </c>
      <c r="T50" s="5">
        <v>946.4</v>
      </c>
      <c r="U50" s="5">
        <f>ROUND(AVERAGE(F50:T50),1)</f>
        <v>838.2</v>
      </c>
      <c r="V50" s="5">
        <f>MIN(F50:T50)</f>
        <v>692.9</v>
      </c>
      <c r="W50" s="5">
        <f>MAX(F50:T50)</f>
        <v>997.1</v>
      </c>
      <c r="X50" s="12">
        <f>ROUND(STDEV(F50:T50),1)</f>
        <v>91.3</v>
      </c>
      <c r="Y50" s="12">
        <f>ROUND(X50/U50*100,1)</f>
        <v>10.9</v>
      </c>
      <c r="Z50" s="12">
        <f>ROUND((U50-E50)/E50*100,1)</f>
        <v>-0.8</v>
      </c>
      <c r="AA50" s="4">
        <v>0.0</v>
      </c>
      <c r="AB50" s="4">
        <v>1.0</v>
      </c>
      <c r="AC50" s="3" t="s">
        <v>171</v>
      </c>
    </row>
    <row r="51" spans="8:8" ht="18.75" customHeight="1">
      <c r="A51" s="7" t="s">
        <v>445</v>
      </c>
      <c r="B51" s="8" t="s">
        <v>392</v>
      </c>
      <c r="C51" s="8" t="s">
        <v>446</v>
      </c>
      <c r="D51" s="8" t="s">
        <v>439</v>
      </c>
      <c r="E51" s="9">
        <v>1340.0</v>
      </c>
      <c r="F51" s="10">
        <v>1433.8</v>
      </c>
      <c r="G51" s="10">
        <v>1206.0</v>
      </c>
      <c r="H51" s="10">
        <v>1299.8</v>
      </c>
      <c r="I51" s="10">
        <v>1192.6</v>
      </c>
      <c r="J51" s="10">
        <v>1072.0</v>
      </c>
      <c r="K51" s="10">
        <v>1420.4</v>
      </c>
      <c r="L51" s="10">
        <v>1313.2</v>
      </c>
      <c r="M51" s="10">
        <v>1139.0</v>
      </c>
      <c r="N51" s="10">
        <v>1554.4</v>
      </c>
      <c r="O51" s="10">
        <v>1447.2</v>
      </c>
      <c r="P51" s="10">
        <v>1246.2</v>
      </c>
      <c r="Q51" s="10">
        <v>1474.0</v>
      </c>
      <c r="R51" s="10">
        <v>1206.0</v>
      </c>
      <c r="S51" s="10">
        <v>1567.8</v>
      </c>
      <c r="T51" s="10">
        <v>1474.0</v>
      </c>
      <c r="U51" s="10">
        <f>ROUND(AVERAGE(F51:T51),1)</f>
        <v>1336.4</v>
      </c>
      <c r="V51" s="10">
        <f>MIN(F51:T51)</f>
        <v>1072.0</v>
      </c>
      <c r="W51" s="10">
        <f>MAX(F51:T51)</f>
        <v>1567.8</v>
      </c>
      <c r="X51" s="13">
        <f>ROUND(STDEV(F51:T51),1)</f>
        <v>156.1</v>
      </c>
      <c r="Y51" s="13">
        <f>ROUND(X51/U51*100,1)</f>
        <v>11.7</v>
      </c>
      <c r="Z51" s="13">
        <f>ROUND((U51-E51)/E51*100,1)</f>
        <v>-0.3</v>
      </c>
      <c r="AA51" s="9">
        <v>0.0</v>
      </c>
      <c r="AB51" s="9">
        <v>2.0</v>
      </c>
      <c r="AC51" s="8" t="s">
        <v>171</v>
      </c>
    </row>
    <row r="52" spans="8:8" ht="18.75" customHeight="1">
      <c r="A52" s="2" t="s">
        <v>451</v>
      </c>
      <c r="B52" s="3" t="s">
        <v>452</v>
      </c>
      <c r="C52" s="3" t="s">
        <v>453</v>
      </c>
      <c r="D52" s="3" t="s">
        <v>454</v>
      </c>
      <c r="E52" s="4">
        <v>920.0</v>
      </c>
      <c r="F52" s="5">
        <v>966.0</v>
      </c>
      <c r="G52" s="5">
        <v>809.6</v>
      </c>
      <c r="H52" s="5">
        <v>1048.8</v>
      </c>
      <c r="I52" s="5">
        <v>800.4</v>
      </c>
      <c r="J52" s="5">
        <v>717.6</v>
      </c>
      <c r="K52" s="5">
        <v>956.8</v>
      </c>
      <c r="L52" s="5">
        <v>883.2</v>
      </c>
      <c r="M52" s="5">
        <v>763.6</v>
      </c>
      <c r="N52" s="5">
        <v>1048.8</v>
      </c>
      <c r="O52" s="5">
        <v>975.2</v>
      </c>
      <c r="P52" s="5">
        <v>1012.0</v>
      </c>
      <c r="Q52" s="5">
        <v>993.6</v>
      </c>
      <c r="R52" s="5">
        <v>809.6</v>
      </c>
      <c r="S52" s="5">
        <v>1058.0</v>
      </c>
      <c r="T52" s="5">
        <v>993.6</v>
      </c>
      <c r="U52" s="5">
        <f>ROUND(AVERAGE(F52:T52),1)</f>
        <v>922.5</v>
      </c>
      <c r="V52" s="5">
        <f>MIN(F52:T52)</f>
        <v>717.6</v>
      </c>
      <c r="W52" s="5">
        <f>MAX(F52:T52)</f>
        <v>1058.0</v>
      </c>
      <c r="X52" s="12">
        <f>ROUND(STDEV(F52:T52),1)</f>
        <v>114.5</v>
      </c>
      <c r="Y52" s="12">
        <f>ROUND(X52/U52*100,1)</f>
        <v>12.4</v>
      </c>
      <c r="Z52" s="12">
        <f>ROUND((U52-E52)/E52*100,1)</f>
        <v>0.3</v>
      </c>
      <c r="AA52" s="4">
        <v>1.0</v>
      </c>
      <c r="AB52" s="4">
        <v>0.0</v>
      </c>
      <c r="AC52" s="3" t="s">
        <v>171</v>
      </c>
    </row>
    <row r="53" spans="8:8" ht="18.75" customHeight="1">
      <c r="A53" s="7" t="s">
        <v>459</v>
      </c>
      <c r="B53" s="8" t="s">
        <v>452</v>
      </c>
      <c r="C53" s="8" t="s">
        <v>460</v>
      </c>
      <c r="D53" s="8" t="s">
        <v>454</v>
      </c>
      <c r="E53" s="9">
        <v>795.0</v>
      </c>
      <c r="F53" s="10">
        <v>818.9</v>
      </c>
      <c r="G53" s="10">
        <v>683.7</v>
      </c>
      <c r="H53" s="10">
        <v>890.4</v>
      </c>
      <c r="I53" s="10">
        <v>675.8</v>
      </c>
      <c r="J53" s="10">
        <v>604.2</v>
      </c>
      <c r="K53" s="10">
        <v>810.9</v>
      </c>
      <c r="L53" s="10">
        <v>747.3</v>
      </c>
      <c r="M53" s="10">
        <v>795.0</v>
      </c>
      <c r="N53" s="10">
        <v>890.4</v>
      </c>
      <c r="O53" s="10">
        <v>826.8</v>
      </c>
      <c r="P53" s="10">
        <v>858.6</v>
      </c>
      <c r="Q53" s="10">
        <v>842.7</v>
      </c>
      <c r="R53" s="10">
        <v>683.7</v>
      </c>
      <c r="S53" s="10">
        <v>898.4</v>
      </c>
      <c r="T53" s="10">
        <v>842.7</v>
      </c>
      <c r="U53" s="10">
        <f>ROUND(AVERAGE(F53:T53),1)</f>
        <v>791.3</v>
      </c>
      <c r="V53" s="10">
        <f>MIN(F53:T53)</f>
        <v>604.2</v>
      </c>
      <c r="W53" s="10">
        <f>MAX(F53:T53)</f>
        <v>898.4</v>
      </c>
      <c r="X53" s="13">
        <f>ROUND(STDEV(F53:T53),1)</f>
        <v>91.3</v>
      </c>
      <c r="Y53" s="13">
        <f>ROUND(X53/U53*100,1)</f>
        <v>11.5</v>
      </c>
      <c r="Z53" s="13">
        <f>ROUND((U53-E53)/E53*100,1)</f>
        <v>-0.5</v>
      </c>
      <c r="AA53" s="9">
        <v>1.0</v>
      </c>
      <c r="AB53" s="9">
        <v>0.0</v>
      </c>
      <c r="AC53" s="8" t="s">
        <v>171</v>
      </c>
    </row>
    <row r="54" spans="8:8" ht="18.75" customHeight="1">
      <c r="A54" s="2" t="s">
        <v>466</v>
      </c>
      <c r="B54" s="3" t="s">
        <v>452</v>
      </c>
      <c r="C54" s="3" t="s">
        <v>467</v>
      </c>
      <c r="D54" s="3" t="s">
        <v>454</v>
      </c>
      <c r="E54" s="4">
        <v>1210.0</v>
      </c>
      <c r="F54" s="5">
        <v>1222.1</v>
      </c>
      <c r="G54" s="5">
        <v>1016.4</v>
      </c>
      <c r="H54" s="5">
        <v>1331.0</v>
      </c>
      <c r="I54" s="5">
        <v>1004.3</v>
      </c>
      <c r="J54" s="5">
        <v>1125.3</v>
      </c>
      <c r="K54" s="5">
        <v>1210.0</v>
      </c>
      <c r="L54" s="5">
        <v>1113.2</v>
      </c>
      <c r="M54" s="5">
        <v>1185.8</v>
      </c>
      <c r="N54" s="5">
        <v>1331.0</v>
      </c>
      <c r="O54" s="5">
        <v>1234.2</v>
      </c>
      <c r="P54" s="5">
        <v>1282.6</v>
      </c>
      <c r="Q54" s="5">
        <v>1258.4</v>
      </c>
      <c r="R54" s="5">
        <v>1016.4</v>
      </c>
      <c r="S54" s="5">
        <v>1343.1</v>
      </c>
      <c r="T54" s="5">
        <v>1258.4</v>
      </c>
      <c r="U54" s="5">
        <f>ROUND(AVERAGE(F54:T54),1)</f>
        <v>1195.5</v>
      </c>
      <c r="V54" s="5">
        <f>MIN(F54:T54)</f>
        <v>1004.3</v>
      </c>
      <c r="W54" s="5">
        <f>MAX(F54:T54)</f>
        <v>1343.1</v>
      </c>
      <c r="X54" s="12">
        <f>ROUND(STDEV(F54:T54),1)</f>
        <v>116.2</v>
      </c>
      <c r="Y54" s="12">
        <f>ROUND(X54/U54*100,1)</f>
        <v>9.7</v>
      </c>
      <c r="Z54" s="12">
        <f>ROUND((U54-E54)/E54*100,1)</f>
        <v>-1.2</v>
      </c>
      <c r="AA54" s="4">
        <v>0.0</v>
      </c>
      <c r="AB54" s="4">
        <v>0.0</v>
      </c>
      <c r="AC54" s="3" t="s">
        <v>171</v>
      </c>
    </row>
    <row r="55" spans="8:8" ht="18.75" customHeight="1">
      <c r="A55" s="7" t="s">
        <v>474</v>
      </c>
      <c r="B55" s="8" t="s">
        <v>452</v>
      </c>
      <c r="C55" s="8" t="s">
        <v>475</v>
      </c>
      <c r="D55" s="8" t="s">
        <v>454</v>
      </c>
      <c r="E55" s="9">
        <v>1130.0</v>
      </c>
      <c r="F55" s="10">
        <v>1118.7</v>
      </c>
      <c r="G55" s="10">
        <v>1141.3</v>
      </c>
      <c r="H55" s="10">
        <v>1220.4</v>
      </c>
      <c r="I55" s="10">
        <v>915.3</v>
      </c>
      <c r="J55" s="10">
        <v>1028.3</v>
      </c>
      <c r="K55" s="10">
        <v>1107.4</v>
      </c>
      <c r="L55" s="10">
        <v>1017.0</v>
      </c>
      <c r="M55" s="10">
        <v>1084.8</v>
      </c>
      <c r="N55" s="10">
        <v>1220.4</v>
      </c>
      <c r="O55" s="10">
        <v>1130.0</v>
      </c>
      <c r="P55" s="10">
        <v>1175.2</v>
      </c>
      <c r="Q55" s="10">
        <v>1152.6</v>
      </c>
      <c r="R55" s="10">
        <v>1141.3</v>
      </c>
      <c r="S55" s="10">
        <v>1231.7</v>
      </c>
      <c r="T55" s="10">
        <v>1152.6</v>
      </c>
      <c r="U55" s="10">
        <f>ROUND(AVERAGE(F55:T55),1)</f>
        <v>1122.5</v>
      </c>
      <c r="V55" s="10">
        <f>MIN(F55:T55)</f>
        <v>915.3</v>
      </c>
      <c r="W55" s="10">
        <f>MAX(F55:T55)</f>
        <v>1231.7</v>
      </c>
      <c r="X55" s="13">
        <f>ROUND(STDEV(F55:T55),1)</f>
        <v>85.0</v>
      </c>
      <c r="Y55" s="13">
        <f>ROUND(X55/U55*100,1)</f>
        <v>7.6</v>
      </c>
      <c r="Z55" s="13">
        <f>ROUND((U55-E55)/E55*100,1)</f>
        <v>-0.7</v>
      </c>
      <c r="AA55" s="9">
        <v>0.0</v>
      </c>
      <c r="AB55" s="9">
        <v>0.0</v>
      </c>
      <c r="AC55" s="8" t="s">
        <v>171</v>
      </c>
    </row>
    <row r="56" spans="8:8" ht="18.75" customHeight="1">
      <c r="A56" s="2" t="s">
        <v>481</v>
      </c>
      <c r="B56" s="3" t="s">
        <v>452</v>
      </c>
      <c r="C56" s="3" t="s">
        <v>482</v>
      </c>
      <c r="D56" s="3" t="s">
        <v>454</v>
      </c>
      <c r="E56" s="4">
        <v>740.0</v>
      </c>
      <c r="F56" s="5">
        <v>717.8</v>
      </c>
      <c r="G56" s="5">
        <v>732.6</v>
      </c>
      <c r="H56" s="5">
        <v>784.4</v>
      </c>
      <c r="I56" s="5">
        <v>584.6</v>
      </c>
      <c r="J56" s="5">
        <v>658.6</v>
      </c>
      <c r="K56" s="5">
        <v>710.4</v>
      </c>
      <c r="L56" s="5">
        <v>651.2</v>
      </c>
      <c r="M56" s="5">
        <v>695.6</v>
      </c>
      <c r="N56" s="5">
        <v>784.4</v>
      </c>
      <c r="O56" s="5">
        <v>865.8</v>
      </c>
      <c r="P56" s="5">
        <v>754.8</v>
      </c>
      <c r="Q56" s="5">
        <v>740.0</v>
      </c>
      <c r="R56" s="5">
        <v>732.6</v>
      </c>
      <c r="S56" s="5">
        <v>791.8</v>
      </c>
      <c r="T56" s="5">
        <v>740.0</v>
      </c>
      <c r="U56" s="5">
        <f>ROUND(AVERAGE(F56:T56),1)</f>
        <v>729.6</v>
      </c>
      <c r="V56" s="5">
        <f>MIN(F56:T56)</f>
        <v>584.6</v>
      </c>
      <c r="W56" s="5">
        <f>MAX(F56:T56)</f>
        <v>865.8</v>
      </c>
      <c r="X56" s="12">
        <f>ROUND(STDEV(F56:T56),1)</f>
        <v>67.2</v>
      </c>
      <c r="Y56" s="12">
        <f>ROUND(X56/U56*100,1)</f>
        <v>9.2</v>
      </c>
      <c r="Z56" s="12">
        <f>ROUND((U56-E56)/E56*100,1)</f>
        <v>-1.4</v>
      </c>
      <c r="AA56" s="4">
        <v>1.0</v>
      </c>
      <c r="AB56" s="4">
        <v>1.0</v>
      </c>
      <c r="AC56" s="3" t="s">
        <v>171</v>
      </c>
    </row>
    <row r="57" spans="8:8" ht="18.75" customHeight="1">
      <c r="A57" s="7" t="s">
        <v>492</v>
      </c>
      <c r="B57" s="8" t="s">
        <v>452</v>
      </c>
      <c r="C57" s="8" t="s">
        <v>493</v>
      </c>
      <c r="D57" s="8" t="s">
        <v>494</v>
      </c>
      <c r="E57" s="9">
        <v>885.0</v>
      </c>
      <c r="F57" s="10">
        <v>840.8</v>
      </c>
      <c r="G57" s="10">
        <v>858.5</v>
      </c>
      <c r="H57" s="10">
        <v>920.4</v>
      </c>
      <c r="I57" s="10">
        <v>681.5</v>
      </c>
      <c r="J57" s="10">
        <v>770.0</v>
      </c>
      <c r="K57" s="10">
        <v>831.9</v>
      </c>
      <c r="L57" s="10">
        <v>929.2</v>
      </c>
      <c r="M57" s="10">
        <v>814.2</v>
      </c>
      <c r="N57" s="10">
        <v>920.4</v>
      </c>
      <c r="O57" s="10">
        <v>1017.8</v>
      </c>
      <c r="P57" s="10">
        <v>885.0</v>
      </c>
      <c r="Q57" s="10">
        <v>867.3</v>
      </c>
      <c r="R57" s="10">
        <v>858.5</v>
      </c>
      <c r="S57" s="10">
        <v>929.2</v>
      </c>
      <c r="T57" s="10">
        <v>1035.5</v>
      </c>
      <c r="U57" s="10">
        <f>ROUND(AVERAGE(F57:T57),1)</f>
        <v>877.3</v>
      </c>
      <c r="V57" s="10">
        <f>MIN(F57:T57)</f>
        <v>681.5</v>
      </c>
      <c r="W57" s="10">
        <f>MAX(F57:T57)</f>
        <v>1035.5</v>
      </c>
      <c r="X57" s="13">
        <f>ROUND(STDEV(F57:T57),1)</f>
        <v>89.4</v>
      </c>
      <c r="Y57" s="13">
        <f>ROUND(X57/U57*100,1)</f>
        <v>10.2</v>
      </c>
      <c r="Z57" s="13">
        <f>ROUND((U57-E57)/E57*100,1)</f>
        <v>-0.9</v>
      </c>
      <c r="AA57" s="9">
        <v>1.0</v>
      </c>
      <c r="AB57" s="9">
        <v>2.0</v>
      </c>
      <c r="AC57" s="8" t="s">
        <v>171</v>
      </c>
    </row>
    <row r="58" spans="8:8" ht="18.75" customHeight="1">
      <c r="A58" s="2" t="s">
        <v>500</v>
      </c>
      <c r="B58" s="3" t="s">
        <v>452</v>
      </c>
      <c r="C58" s="3" t="s">
        <v>501</v>
      </c>
      <c r="D58" s="3" t="s">
        <v>494</v>
      </c>
      <c r="E58" s="4">
        <v>1090.0</v>
      </c>
      <c r="F58" s="5">
        <v>1013.7</v>
      </c>
      <c r="G58" s="5">
        <v>1035.5</v>
      </c>
      <c r="H58" s="5">
        <v>1111.8</v>
      </c>
      <c r="I58" s="5">
        <v>1024.6</v>
      </c>
      <c r="J58" s="5">
        <v>926.5</v>
      </c>
      <c r="K58" s="5">
        <v>1002.8</v>
      </c>
      <c r="L58" s="5">
        <v>1122.7</v>
      </c>
      <c r="M58" s="5">
        <v>981.0</v>
      </c>
      <c r="N58" s="5">
        <v>1111.8</v>
      </c>
      <c r="O58" s="5">
        <v>1231.7</v>
      </c>
      <c r="P58" s="5">
        <v>1068.2</v>
      </c>
      <c r="Q58" s="5">
        <v>1253.5</v>
      </c>
      <c r="R58" s="5">
        <v>1035.5</v>
      </c>
      <c r="S58" s="5">
        <v>1122.7</v>
      </c>
      <c r="T58" s="5">
        <v>1253.5</v>
      </c>
      <c r="U58" s="5">
        <f>ROUND(AVERAGE(F58:T58),1)</f>
        <v>1086.4</v>
      </c>
      <c r="V58" s="5">
        <f>MIN(F58:T58)</f>
        <v>926.5</v>
      </c>
      <c r="W58" s="5">
        <f>MAX(F58:T58)</f>
        <v>1253.5</v>
      </c>
      <c r="X58" s="12">
        <f>ROUND(STDEV(F58:T58),1)</f>
        <v>99.7</v>
      </c>
      <c r="Y58" s="12">
        <f>ROUND(X58/U58*100,1)</f>
        <v>9.2</v>
      </c>
      <c r="Z58" s="12">
        <f>ROUND((U58-E58)/E58*100,1)</f>
        <v>-0.3</v>
      </c>
      <c r="AA58" s="4">
        <v>0.0</v>
      </c>
      <c r="AB58" s="4">
        <v>0.0</v>
      </c>
      <c r="AC58" s="3" t="s">
        <v>171</v>
      </c>
    </row>
    <row r="59" spans="8:8" ht="18.75" customHeight="1">
      <c r="A59" s="7" t="s">
        <v>506</v>
      </c>
      <c r="B59" s="8" t="s">
        <v>452</v>
      </c>
      <c r="C59" s="8" t="s">
        <v>507</v>
      </c>
      <c r="D59" s="8" t="s">
        <v>494</v>
      </c>
      <c r="E59" s="9">
        <v>1080.0</v>
      </c>
      <c r="F59" s="10">
        <v>1188.0</v>
      </c>
      <c r="G59" s="10">
        <v>1004.4</v>
      </c>
      <c r="H59" s="10">
        <v>1080.0</v>
      </c>
      <c r="I59" s="10">
        <v>993.6</v>
      </c>
      <c r="J59" s="10">
        <v>896.4</v>
      </c>
      <c r="K59" s="10">
        <v>972.0</v>
      </c>
      <c r="L59" s="10">
        <v>1090.8</v>
      </c>
      <c r="M59" s="10">
        <v>950.4</v>
      </c>
      <c r="N59" s="10">
        <v>1285.2</v>
      </c>
      <c r="O59" s="10">
        <v>1198.8</v>
      </c>
      <c r="P59" s="10">
        <v>1036.8</v>
      </c>
      <c r="Q59" s="10">
        <v>1220.4</v>
      </c>
      <c r="R59" s="10">
        <v>1004.4</v>
      </c>
      <c r="S59" s="10">
        <v>1090.8</v>
      </c>
      <c r="T59" s="10">
        <v>1220.4</v>
      </c>
      <c r="U59" s="10">
        <f>ROUND(AVERAGE(F59:T59),1)</f>
        <v>1082.2</v>
      </c>
      <c r="V59" s="10">
        <f>MIN(F59:T59)</f>
        <v>896.4</v>
      </c>
      <c r="W59" s="10">
        <f>MAX(F59:T59)</f>
        <v>1285.2</v>
      </c>
      <c r="X59" s="13">
        <f>ROUND(STDEV(F59:T59),1)</f>
        <v>116.6</v>
      </c>
      <c r="Y59" s="13">
        <f>ROUND(X59/U59*100,1)</f>
        <v>10.8</v>
      </c>
      <c r="Z59" s="13">
        <f>ROUND((U59-E59)/E59*100,1)</f>
        <v>0.2</v>
      </c>
      <c r="AA59" s="9">
        <v>0.0</v>
      </c>
      <c r="AB59" s="9">
        <v>1.0</v>
      </c>
      <c r="AC59" s="8" t="s">
        <v>171</v>
      </c>
    </row>
    <row r="60" spans="8:8" ht="18.75" customHeight="1">
      <c r="A60" s="2" t="s">
        <v>512</v>
      </c>
      <c r="B60" s="3" t="s">
        <v>452</v>
      </c>
      <c r="C60" s="3" t="s">
        <v>513</v>
      </c>
      <c r="D60" s="3" t="s">
        <v>454</v>
      </c>
      <c r="E60" s="4">
        <v>815.0</v>
      </c>
      <c r="F60" s="5">
        <v>880.2</v>
      </c>
      <c r="G60" s="5">
        <v>741.6</v>
      </c>
      <c r="H60" s="5">
        <v>798.7</v>
      </c>
      <c r="I60" s="5">
        <v>733.5</v>
      </c>
      <c r="J60" s="5">
        <v>660.1</v>
      </c>
      <c r="K60" s="5">
        <v>872.1</v>
      </c>
      <c r="L60" s="5">
        <v>806.9</v>
      </c>
      <c r="M60" s="5">
        <v>700.9</v>
      </c>
      <c r="N60" s="5">
        <v>953.6</v>
      </c>
      <c r="O60" s="5">
        <v>888.4</v>
      </c>
      <c r="P60" s="5">
        <v>766.1</v>
      </c>
      <c r="Q60" s="5">
        <v>904.7</v>
      </c>
      <c r="R60" s="5">
        <v>741.6</v>
      </c>
      <c r="S60" s="5">
        <v>806.9</v>
      </c>
      <c r="T60" s="5">
        <v>904.7</v>
      </c>
      <c r="U60" s="5">
        <f>ROUND(AVERAGE(F60:T60),1)</f>
        <v>810.7</v>
      </c>
      <c r="V60" s="5">
        <f>MIN(F60:T60)</f>
        <v>660.1</v>
      </c>
      <c r="W60" s="5">
        <f>MAX(F60:T60)</f>
        <v>953.6</v>
      </c>
      <c r="X60" s="12">
        <f>ROUND(STDEV(F60:T60),1)</f>
        <v>86.7</v>
      </c>
      <c r="Y60" s="12">
        <f>ROUND(X60/U60*100,1)</f>
        <v>10.7</v>
      </c>
      <c r="Z60" s="12">
        <f>ROUND((U60-E60)/E60*100,1)</f>
        <v>-0.5</v>
      </c>
      <c r="AA60" s="4">
        <v>0.0</v>
      </c>
      <c r="AB60" s="4">
        <v>1.0</v>
      </c>
      <c r="AC60" s="3" t="s">
        <v>171</v>
      </c>
    </row>
    <row r="61" spans="8:8" ht="18.75" customHeight="1">
      <c r="A61" s="7" t="s">
        <v>517</v>
      </c>
      <c r="B61" s="8" t="s">
        <v>518</v>
      </c>
      <c r="C61" s="8" t="s">
        <v>519</v>
      </c>
      <c r="D61" s="8" t="s">
        <v>518</v>
      </c>
      <c r="E61" s="9">
        <v>1285.0</v>
      </c>
      <c r="F61" s="10">
        <v>1362.1</v>
      </c>
      <c r="G61" s="10">
        <v>1143.7</v>
      </c>
      <c r="H61" s="10">
        <v>1477.8</v>
      </c>
      <c r="I61" s="10">
        <v>1130.8</v>
      </c>
      <c r="J61" s="10">
        <v>1015.1</v>
      </c>
      <c r="K61" s="10">
        <v>1349.2</v>
      </c>
      <c r="L61" s="10">
        <v>1246.5</v>
      </c>
      <c r="M61" s="10">
        <v>1079.4</v>
      </c>
      <c r="N61" s="10">
        <v>1477.8</v>
      </c>
      <c r="O61" s="10">
        <v>1375.0</v>
      </c>
      <c r="P61" s="10">
        <v>1182.2</v>
      </c>
      <c r="Q61" s="10">
        <v>1400.7</v>
      </c>
      <c r="R61" s="10">
        <v>1143.7</v>
      </c>
      <c r="S61" s="10">
        <v>1490.6</v>
      </c>
      <c r="T61" s="10">
        <v>1400.7</v>
      </c>
      <c r="U61" s="10">
        <f>ROUND(AVERAGE(F61:T61),1)</f>
        <v>1285.0</v>
      </c>
      <c r="V61" s="10">
        <f>MIN(F61:T61)</f>
        <v>1015.1</v>
      </c>
      <c r="W61" s="10">
        <f>MAX(F61:T61)</f>
        <v>1490.6</v>
      </c>
      <c r="X61" s="13">
        <f>ROUND(STDEV(F61:T61),1)</f>
        <v>158.7</v>
      </c>
      <c r="Y61" s="13">
        <f>ROUND(X61/U61*100,1)</f>
        <v>12.4</v>
      </c>
      <c r="Z61" s="13">
        <f>ROUND((U61-E61)/E61*100,1)</f>
        <v>0.0</v>
      </c>
      <c r="AA61" s="9">
        <v>1.0</v>
      </c>
      <c r="AB61" s="9">
        <v>3.0</v>
      </c>
      <c r="AC61" s="8" t="s">
        <v>171</v>
      </c>
    </row>
    <row r="62" spans="8:8" ht="18.75" customHeight="1">
      <c r="A62" s="2" t="s">
        <v>526</v>
      </c>
      <c r="B62" s="3" t="s">
        <v>518</v>
      </c>
      <c r="C62" s="3" t="s">
        <v>527</v>
      </c>
      <c r="D62" s="3" t="s">
        <v>518</v>
      </c>
      <c r="E62" s="4">
        <v>1460.0</v>
      </c>
      <c r="F62" s="5">
        <v>1518.4</v>
      </c>
      <c r="G62" s="5">
        <v>1270.2</v>
      </c>
      <c r="H62" s="5">
        <v>1649.8</v>
      </c>
      <c r="I62" s="5">
        <v>1255.6</v>
      </c>
      <c r="J62" s="5">
        <v>1124.2</v>
      </c>
      <c r="K62" s="5">
        <v>1503.8</v>
      </c>
      <c r="L62" s="5">
        <v>1387.0</v>
      </c>
      <c r="M62" s="5">
        <v>1197.2</v>
      </c>
      <c r="N62" s="5">
        <v>1649.8</v>
      </c>
      <c r="O62" s="5">
        <v>1533.0</v>
      </c>
      <c r="P62" s="5">
        <v>1591.4</v>
      </c>
      <c r="Q62" s="5">
        <v>1562.2</v>
      </c>
      <c r="R62" s="5">
        <v>1270.2</v>
      </c>
      <c r="S62" s="5">
        <v>1664.4</v>
      </c>
      <c r="T62" s="5">
        <v>1562.2</v>
      </c>
      <c r="U62" s="5">
        <f>ROUND(AVERAGE(F62:T62),1)</f>
        <v>1449.3</v>
      </c>
      <c r="V62" s="5">
        <f>MIN(F62:T62)</f>
        <v>1124.2</v>
      </c>
      <c r="W62" s="5">
        <f>MAX(F62:T62)</f>
        <v>1664.4</v>
      </c>
      <c r="X62" s="12">
        <f>ROUND(STDEV(F62:T62),1)</f>
        <v>181.6</v>
      </c>
      <c r="Y62" s="12">
        <f>ROUND(X62/U62*100,1)</f>
        <v>12.5</v>
      </c>
      <c r="Z62" s="12">
        <f>ROUND((U62-E62)/E62*100,1)</f>
        <v>-0.7</v>
      </c>
      <c r="AA62" s="4">
        <v>1.0</v>
      </c>
      <c r="AB62" s="4">
        <v>0.0</v>
      </c>
      <c r="AC62" s="3" t="s">
        <v>162</v>
      </c>
    </row>
    <row r="63" spans="8:8" ht="18.75" customHeight="1">
      <c r="A63" s="7" t="s">
        <v>531</v>
      </c>
      <c r="B63" s="8" t="s">
        <v>518</v>
      </c>
      <c r="C63" s="8" t="s">
        <v>532</v>
      </c>
      <c r="D63" s="8" t="s">
        <v>518</v>
      </c>
      <c r="E63" s="9">
        <v>1390.0</v>
      </c>
      <c r="F63" s="10">
        <v>1417.8</v>
      </c>
      <c r="G63" s="10">
        <v>1181.5</v>
      </c>
      <c r="H63" s="10">
        <v>1542.9</v>
      </c>
      <c r="I63" s="10">
        <v>1167.6</v>
      </c>
      <c r="J63" s="10">
        <v>1042.5</v>
      </c>
      <c r="K63" s="10">
        <v>1403.9</v>
      </c>
      <c r="L63" s="10">
        <v>1292.7</v>
      </c>
      <c r="M63" s="10">
        <v>1376.1</v>
      </c>
      <c r="N63" s="10">
        <v>1542.9</v>
      </c>
      <c r="O63" s="10">
        <v>1431.7</v>
      </c>
      <c r="P63" s="10">
        <v>1487.3</v>
      </c>
      <c r="Q63" s="10">
        <v>1459.5</v>
      </c>
      <c r="R63" s="10">
        <v>1181.5</v>
      </c>
      <c r="S63" s="10">
        <v>1556.8</v>
      </c>
      <c r="T63" s="10">
        <v>1459.5</v>
      </c>
      <c r="U63" s="10">
        <f>ROUND(AVERAGE(F63:T63),1)</f>
        <v>1369.6</v>
      </c>
      <c r="V63" s="10">
        <f>MIN(F63:T63)</f>
        <v>1042.5</v>
      </c>
      <c r="W63" s="10">
        <f>MAX(F63:T63)</f>
        <v>1556.8</v>
      </c>
      <c r="X63" s="13">
        <f>ROUND(STDEV(F63:T63),1)</f>
        <v>159.7</v>
      </c>
      <c r="Y63" s="13">
        <f>ROUND(X63/U63*100,1)</f>
        <v>11.7</v>
      </c>
      <c r="Z63" s="13">
        <f>ROUND((U63-E63)/E63*100,1)</f>
        <v>-1.5</v>
      </c>
      <c r="AA63" s="9">
        <v>1.0</v>
      </c>
      <c r="AB63" s="9">
        <v>0.0</v>
      </c>
      <c r="AC63" s="8" t="s">
        <v>171</v>
      </c>
    </row>
    <row r="64" spans="8:8" ht="18.75" customHeight="1">
      <c r="A64" s="2" t="s">
        <v>536</v>
      </c>
      <c r="B64" s="3" t="s">
        <v>537</v>
      </c>
      <c r="C64" s="3" t="s">
        <v>538</v>
      </c>
      <c r="D64" s="3" t="s">
        <v>540</v>
      </c>
      <c r="E64" s="4">
        <v>1950.0</v>
      </c>
      <c r="F64" s="5">
        <v>1950.0</v>
      </c>
      <c r="G64" s="5">
        <v>1618.5</v>
      </c>
      <c r="H64" s="5">
        <v>2125.5</v>
      </c>
      <c r="I64" s="5">
        <v>1599.0</v>
      </c>
      <c r="J64" s="5">
        <v>1794.0</v>
      </c>
      <c r="K64" s="5">
        <v>1930.5</v>
      </c>
      <c r="L64" s="5">
        <v>1774.5</v>
      </c>
      <c r="M64" s="5">
        <v>1891.5</v>
      </c>
      <c r="N64" s="5">
        <v>2125.5</v>
      </c>
      <c r="O64" s="5">
        <v>1969.5</v>
      </c>
      <c r="P64" s="5">
        <v>2047.5</v>
      </c>
      <c r="Q64" s="5">
        <v>2008.5</v>
      </c>
      <c r="R64" s="5">
        <v>1989.0</v>
      </c>
      <c r="S64" s="5">
        <v>2145.0</v>
      </c>
      <c r="T64" s="5">
        <v>2008.5</v>
      </c>
      <c r="U64" s="5">
        <f>ROUND(AVERAGE(F64:T64),1)</f>
        <v>1931.8</v>
      </c>
      <c r="V64" s="5">
        <f>MIN(F64:T64)</f>
        <v>1599.0</v>
      </c>
      <c r="W64" s="5">
        <f>MAX(F64:T64)</f>
        <v>2145.0</v>
      </c>
      <c r="X64" s="12">
        <f>ROUND(STDEV(F64:T64),1)</f>
        <v>170.1</v>
      </c>
      <c r="Y64" s="12">
        <f>ROUND(X64/U64*100,1)</f>
        <v>8.8</v>
      </c>
      <c r="Z64" s="12">
        <f>ROUND((U64-E64)/E64*100,1)</f>
        <v>-0.9</v>
      </c>
      <c r="AA64" s="4">
        <v>0.0</v>
      </c>
      <c r="AB64" s="4">
        <v>0.0</v>
      </c>
      <c r="AC64" s="3" t="s">
        <v>397</v>
      </c>
    </row>
    <row r="65" spans="8:8" ht="18.75" customHeight="1">
      <c r="A65" s="7" t="s">
        <v>545</v>
      </c>
      <c r="B65" s="8" t="s">
        <v>537</v>
      </c>
      <c r="C65" s="8" t="s">
        <v>546</v>
      </c>
      <c r="D65" s="8" t="s">
        <v>540</v>
      </c>
      <c r="E65" s="9">
        <v>1280.0</v>
      </c>
      <c r="F65" s="10">
        <v>1254.4</v>
      </c>
      <c r="G65" s="10">
        <v>1280.0</v>
      </c>
      <c r="H65" s="10">
        <v>1369.6</v>
      </c>
      <c r="I65" s="10">
        <v>1024.0</v>
      </c>
      <c r="J65" s="10">
        <v>1152.0</v>
      </c>
      <c r="K65" s="10">
        <v>1241.6</v>
      </c>
      <c r="L65" s="10">
        <v>1139.2</v>
      </c>
      <c r="M65" s="10">
        <v>1216.0</v>
      </c>
      <c r="N65" s="10">
        <v>1369.6</v>
      </c>
      <c r="O65" s="10">
        <v>1510.4</v>
      </c>
      <c r="P65" s="10">
        <v>1318.4</v>
      </c>
      <c r="Q65" s="10">
        <v>1292.8</v>
      </c>
      <c r="R65" s="10">
        <v>1280.0</v>
      </c>
      <c r="S65" s="10">
        <v>1382.4</v>
      </c>
      <c r="T65" s="10">
        <v>1292.8</v>
      </c>
      <c r="U65" s="10">
        <f>ROUND(AVERAGE(F65:T65),1)</f>
        <v>1274.9</v>
      </c>
      <c r="V65" s="10">
        <f>MIN(F65:T65)</f>
        <v>1024.0</v>
      </c>
      <c r="W65" s="10">
        <f>MAX(F65:T65)</f>
        <v>1510.4</v>
      </c>
      <c r="X65" s="13">
        <f>ROUND(STDEV(F65:T65),1)</f>
        <v>116.2</v>
      </c>
      <c r="Y65" s="13">
        <f>ROUND(X65/U65*100,1)</f>
        <v>9.1</v>
      </c>
      <c r="Z65" s="13">
        <f>ROUND((U65-E65)/E65*100,1)</f>
        <v>-0.4</v>
      </c>
      <c r="AA65" s="9">
        <v>0.0</v>
      </c>
      <c r="AB65" s="9">
        <v>1.0</v>
      </c>
      <c r="AC65" s="8" t="s">
        <v>171</v>
      </c>
    </row>
    <row r="66" spans="8:8" ht="18.75" customHeight="1">
      <c r="A66" s="2" t="s">
        <v>550</v>
      </c>
      <c r="B66" s="3" t="s">
        <v>537</v>
      </c>
      <c r="C66" s="3" t="s">
        <v>551</v>
      </c>
      <c r="D66" s="3" t="s">
        <v>540</v>
      </c>
      <c r="E66" s="4">
        <v>910.0</v>
      </c>
      <c r="F66" s="5">
        <v>873.6</v>
      </c>
      <c r="G66" s="5">
        <v>891.8</v>
      </c>
      <c r="H66" s="5">
        <v>955.5</v>
      </c>
      <c r="I66" s="5">
        <v>709.8</v>
      </c>
      <c r="J66" s="5">
        <v>800.8</v>
      </c>
      <c r="K66" s="5">
        <v>864.5</v>
      </c>
      <c r="L66" s="5">
        <v>964.6</v>
      </c>
      <c r="M66" s="5">
        <v>846.3</v>
      </c>
      <c r="N66" s="5">
        <v>955.5</v>
      </c>
      <c r="O66" s="5">
        <v>1055.6</v>
      </c>
      <c r="P66" s="5">
        <v>919.1</v>
      </c>
      <c r="Q66" s="5">
        <v>900.9</v>
      </c>
      <c r="R66" s="5">
        <v>891.8</v>
      </c>
      <c r="S66" s="5">
        <v>964.6</v>
      </c>
      <c r="T66" s="5">
        <v>900.9</v>
      </c>
      <c r="U66" s="5">
        <f>ROUND(AVERAGE(F66:T66),1)</f>
        <v>899.7</v>
      </c>
      <c r="V66" s="5">
        <f>MIN(F66:T66)</f>
        <v>709.8</v>
      </c>
      <c r="W66" s="5">
        <f>MAX(F66:T66)</f>
        <v>1055.6</v>
      </c>
      <c r="X66" s="12">
        <f>ROUND(STDEV(F66:T66),1)</f>
        <v>80.2</v>
      </c>
      <c r="Y66" s="12">
        <f>ROUND(X66/U66*100,1)</f>
        <v>8.9</v>
      </c>
      <c r="Z66" s="12">
        <f>ROUND((U66-E66)/E66*100,1)</f>
        <v>-1.1</v>
      </c>
      <c r="AA66" s="4">
        <v>1.0</v>
      </c>
      <c r="AB66" s="4">
        <v>1.0</v>
      </c>
      <c r="AC66" s="3" t="s">
        <v>171</v>
      </c>
    </row>
    <row r="67" spans="8:8" ht="18.75" customHeight="1">
      <c r="A67" s="7" t="s">
        <v>556</v>
      </c>
      <c r="B67" s="8" t="s">
        <v>537</v>
      </c>
      <c r="C67" s="8" t="s">
        <v>557</v>
      </c>
      <c r="D67" s="8" t="s">
        <v>540</v>
      </c>
      <c r="E67" s="9">
        <v>645.0</v>
      </c>
      <c r="F67" s="10">
        <v>606.3</v>
      </c>
      <c r="G67" s="10">
        <v>619.2</v>
      </c>
      <c r="H67" s="10">
        <v>664.4</v>
      </c>
      <c r="I67" s="10">
        <v>612.8</v>
      </c>
      <c r="J67" s="10">
        <v>554.7</v>
      </c>
      <c r="K67" s="10">
        <v>599.8</v>
      </c>
      <c r="L67" s="10">
        <v>670.8</v>
      </c>
      <c r="M67" s="10">
        <v>587.0</v>
      </c>
      <c r="N67" s="10">
        <v>664.4</v>
      </c>
      <c r="O67" s="10">
        <v>735.3</v>
      </c>
      <c r="P67" s="10">
        <v>638.5</v>
      </c>
      <c r="Q67" s="10">
        <v>625.7</v>
      </c>
      <c r="R67" s="10">
        <v>619.2</v>
      </c>
      <c r="S67" s="10">
        <v>670.8</v>
      </c>
      <c r="T67" s="10">
        <v>748.2</v>
      </c>
      <c r="U67" s="10">
        <f>ROUND(AVERAGE(F67:T67),1)</f>
        <v>641.1</v>
      </c>
      <c r="V67" s="10">
        <f>MIN(F67:T67)</f>
        <v>554.7</v>
      </c>
      <c r="W67" s="10">
        <f>MAX(F67:T67)</f>
        <v>748.2</v>
      </c>
      <c r="X67" s="13">
        <f>ROUND(STDEV(F67:T67),1)</f>
        <v>52.4</v>
      </c>
      <c r="Y67" s="13">
        <f>ROUND(X67/U67*100,1)</f>
        <v>8.2</v>
      </c>
      <c r="Z67" s="13">
        <f>ROUND((U67-E67)/E67*100,1)</f>
        <v>-0.6</v>
      </c>
      <c r="AA67" s="9">
        <v>0.0</v>
      </c>
      <c r="AB67" s="9">
        <v>1.0</v>
      </c>
      <c r="AC67" s="8" t="s">
        <v>561</v>
      </c>
    </row>
    <row r="68" spans="8:8" ht="18.75" customHeight="1">
      <c r="A68" s="2" t="s">
        <v>567</v>
      </c>
      <c r="B68" s="3" t="s">
        <v>537</v>
      </c>
      <c r="C68" s="3" t="s">
        <v>568</v>
      </c>
      <c r="D68" s="3" t="s">
        <v>540</v>
      </c>
      <c r="E68" s="4">
        <v>680.0</v>
      </c>
      <c r="F68" s="5">
        <v>754.8</v>
      </c>
      <c r="G68" s="5">
        <v>639.2</v>
      </c>
      <c r="H68" s="5">
        <v>686.8</v>
      </c>
      <c r="I68" s="5">
        <v>632.4</v>
      </c>
      <c r="J68" s="5">
        <v>571.2</v>
      </c>
      <c r="K68" s="5">
        <v>618.8</v>
      </c>
      <c r="L68" s="5">
        <v>693.6</v>
      </c>
      <c r="M68" s="5">
        <v>605.2</v>
      </c>
      <c r="N68" s="5">
        <v>686.8</v>
      </c>
      <c r="O68" s="5">
        <v>761.6</v>
      </c>
      <c r="P68" s="5">
        <v>659.6</v>
      </c>
      <c r="Q68" s="5">
        <v>775.2</v>
      </c>
      <c r="R68" s="5">
        <v>639.2</v>
      </c>
      <c r="S68" s="5">
        <v>693.6</v>
      </c>
      <c r="T68" s="5">
        <v>775.2</v>
      </c>
      <c r="U68" s="5">
        <f>ROUND(AVERAGE(F68:T68),1)</f>
        <v>679.5</v>
      </c>
      <c r="V68" s="5">
        <f>MIN(F68:T68)</f>
        <v>571.2</v>
      </c>
      <c r="W68" s="5">
        <f>MAX(F68:T68)</f>
        <v>775.2</v>
      </c>
      <c r="X68" s="12">
        <f>ROUND(STDEV(F68:T68),1)</f>
        <v>64.4</v>
      </c>
      <c r="Y68" s="12">
        <f>ROUND(X68/U68*100,1)</f>
        <v>9.5</v>
      </c>
      <c r="Z68" s="12">
        <f>ROUND((U68-E68)/E68*100,1)</f>
        <v>-0.1</v>
      </c>
      <c r="AA68" s="4">
        <v>0.0</v>
      </c>
      <c r="AB68" s="4">
        <v>0.0</v>
      </c>
      <c r="AC68" s="3" t="s">
        <v>171</v>
      </c>
    </row>
    <row r="69" spans="8:8" ht="18.75" customHeight="1">
      <c r="A69" s="7" t="s">
        <v>576</v>
      </c>
      <c r="B69" s="8" t="s">
        <v>537</v>
      </c>
      <c r="C69" s="8" t="s">
        <v>577</v>
      </c>
      <c r="D69" s="8" t="s">
        <v>578</v>
      </c>
      <c r="E69" s="9">
        <v>785.0</v>
      </c>
      <c r="F69" s="10">
        <v>855.7</v>
      </c>
      <c r="G69" s="10">
        <v>722.2</v>
      </c>
      <c r="H69" s="10">
        <v>777.1</v>
      </c>
      <c r="I69" s="10">
        <v>714.4</v>
      </c>
      <c r="J69" s="10">
        <v>643.7</v>
      </c>
      <c r="K69" s="10">
        <v>698.6</v>
      </c>
      <c r="L69" s="10">
        <v>785.0</v>
      </c>
      <c r="M69" s="10">
        <v>683.0</v>
      </c>
      <c r="N69" s="10">
        <v>926.3</v>
      </c>
      <c r="O69" s="10">
        <v>863.5</v>
      </c>
      <c r="P69" s="10">
        <v>745.8</v>
      </c>
      <c r="Q69" s="10">
        <v>879.2</v>
      </c>
      <c r="R69" s="10">
        <v>722.2</v>
      </c>
      <c r="S69" s="10">
        <v>785.0</v>
      </c>
      <c r="T69" s="10">
        <v>879.2</v>
      </c>
      <c r="U69" s="10">
        <f>ROUND(AVERAGE(F69:T69),1)</f>
        <v>778.7</v>
      </c>
      <c r="V69" s="10">
        <f>MIN(F69:T69)</f>
        <v>643.7</v>
      </c>
      <c r="W69" s="10">
        <f>MAX(F69:T69)</f>
        <v>926.3</v>
      </c>
      <c r="X69" s="13">
        <f>ROUND(STDEV(F69:T69),1)</f>
        <v>84.8</v>
      </c>
      <c r="Y69" s="13">
        <f>ROUND(X69/U69*100,1)</f>
        <v>10.9</v>
      </c>
      <c r="Z69" s="13">
        <f>ROUND((U69-E69)/E69*100,1)</f>
        <v>-0.8</v>
      </c>
      <c r="AA69" s="9">
        <v>0.0</v>
      </c>
      <c r="AB69" s="9">
        <v>1.0</v>
      </c>
      <c r="AC69" s="8" t="s">
        <v>171</v>
      </c>
    </row>
    <row r="70" spans="8:8" ht="18.75" customHeight="1">
      <c r="A70" s="2" t="s">
        <v>583</v>
      </c>
      <c r="B70" s="3" t="s">
        <v>537</v>
      </c>
      <c r="C70" s="3" t="s">
        <v>584</v>
      </c>
      <c r="D70" s="3" t="s">
        <v>578</v>
      </c>
      <c r="E70" s="4">
        <v>595.0</v>
      </c>
      <c r="F70" s="5">
        <v>654.5</v>
      </c>
      <c r="G70" s="5">
        <v>528.4</v>
      </c>
      <c r="H70" s="5">
        <v>545.0</v>
      </c>
      <c r="I70" s="5">
        <v>540.3</v>
      </c>
      <c r="J70" s="5">
        <v>461.7</v>
      </c>
      <c r="K70" s="5">
        <v>659.3</v>
      </c>
      <c r="L70" s="5">
        <v>586.7</v>
      </c>
      <c r="M70" s="5">
        <v>484.3</v>
      </c>
      <c r="N70" s="5">
        <v>711.6</v>
      </c>
      <c r="O70" s="5">
        <v>639.0</v>
      </c>
      <c r="P70" s="5">
        <v>524.8</v>
      </c>
      <c r="Q70" s="5">
        <v>668.8</v>
      </c>
      <c r="R70" s="5">
        <v>524.8</v>
      </c>
      <c r="S70" s="5">
        <v>728.3</v>
      </c>
      <c r="T70" s="5">
        <v>661.6</v>
      </c>
      <c r="U70" s="5">
        <f>ROUND(AVERAGE(F70:T70),1)</f>
        <v>594.6</v>
      </c>
      <c r="V70" s="5">
        <f>MIN(F70:T70)</f>
        <v>461.7</v>
      </c>
      <c r="W70" s="5">
        <f>MAX(F70:T70)</f>
        <v>728.3</v>
      </c>
      <c r="X70" s="12">
        <f>ROUND(STDEV(F70:T70),1)</f>
        <v>84.8</v>
      </c>
      <c r="Y70" s="12">
        <f>ROUND(X70/U70*100,1)</f>
        <v>14.3</v>
      </c>
      <c r="Z70" s="12">
        <f>ROUND((U70-E70)/E70*100,1)</f>
        <v>-0.1</v>
      </c>
      <c r="AA70" s="4">
        <v>1.0</v>
      </c>
      <c r="AB70" s="4">
        <v>2.0</v>
      </c>
      <c r="AC70" s="3" t="s">
        <v>171</v>
      </c>
    </row>
    <row r="71" spans="8:8" ht="18.75" customHeight="1">
      <c r="A71" s="7" t="s">
        <v>589</v>
      </c>
      <c r="B71" s="8" t="s">
        <v>537</v>
      </c>
      <c r="C71" s="8" t="s">
        <v>590</v>
      </c>
      <c r="D71" s="8" t="s">
        <v>578</v>
      </c>
      <c r="E71" s="9">
        <v>425.0</v>
      </c>
      <c r="F71" s="10">
        <v>453.9</v>
      </c>
      <c r="G71" s="10">
        <v>363.8</v>
      </c>
      <c r="H71" s="10">
        <v>504.9</v>
      </c>
      <c r="I71" s="10">
        <v>372.3</v>
      </c>
      <c r="J71" s="10">
        <v>316.2</v>
      </c>
      <c r="K71" s="10">
        <v>457.3</v>
      </c>
      <c r="L71" s="10">
        <v>405.4</v>
      </c>
      <c r="M71" s="10">
        <v>332.4</v>
      </c>
      <c r="N71" s="10">
        <v>494.7</v>
      </c>
      <c r="O71" s="10">
        <v>442.9</v>
      </c>
      <c r="P71" s="10">
        <v>490.4</v>
      </c>
      <c r="Q71" s="10">
        <v>464.1</v>
      </c>
      <c r="R71" s="10">
        <v>361.3</v>
      </c>
      <c r="S71" s="10">
        <v>506.6</v>
      </c>
      <c r="T71" s="10">
        <v>459.0</v>
      </c>
      <c r="U71" s="10">
        <f>ROUND(AVERAGE(F71:T71),1)</f>
        <v>428.3</v>
      </c>
      <c r="V71" s="10">
        <f>MIN(F71:T71)</f>
        <v>316.2</v>
      </c>
      <c r="W71" s="10">
        <f>MAX(F71:T71)</f>
        <v>506.6</v>
      </c>
      <c r="X71" s="13">
        <f>ROUND(STDEV(F71:T71),1)</f>
        <v>64.5</v>
      </c>
      <c r="Y71" s="13">
        <f>ROUND(X71/U71*100,1)</f>
        <v>15.1</v>
      </c>
      <c r="Z71" s="13">
        <f>ROUND((U71-E71)/E71*100,1)</f>
        <v>0.8</v>
      </c>
      <c r="AA71" s="9">
        <v>2.0</v>
      </c>
      <c r="AB71" s="9">
        <v>4.0</v>
      </c>
      <c r="AC71" s="8" t="s">
        <v>595</v>
      </c>
    </row>
    <row r="72" spans="8:8" ht="18.75" customHeight="1">
      <c r="A72" s="2" t="s">
        <v>603</v>
      </c>
      <c r="B72" s="3" t="s">
        <v>604</v>
      </c>
      <c r="C72" s="3" t="s">
        <v>605</v>
      </c>
      <c r="D72" s="3" t="s">
        <v>606</v>
      </c>
      <c r="E72" s="4">
        <v>295.0</v>
      </c>
      <c r="F72" s="5">
        <v>305.6</v>
      </c>
      <c r="G72" s="5">
        <v>243.1</v>
      </c>
      <c r="H72" s="5">
        <v>341.0</v>
      </c>
      <c r="I72" s="5">
        <v>249.0</v>
      </c>
      <c r="J72" s="5">
        <v>210.0</v>
      </c>
      <c r="K72" s="5">
        <v>308.0</v>
      </c>
      <c r="L72" s="5">
        <v>272.0</v>
      </c>
      <c r="M72" s="5">
        <v>310.9</v>
      </c>
      <c r="N72" s="5">
        <v>333.9</v>
      </c>
      <c r="O72" s="5">
        <v>297.9</v>
      </c>
      <c r="P72" s="5">
        <v>331.0</v>
      </c>
      <c r="Q72" s="5">
        <v>312.7</v>
      </c>
      <c r="R72" s="5">
        <v>241.3</v>
      </c>
      <c r="S72" s="5">
        <v>342.2</v>
      </c>
      <c r="T72" s="5">
        <v>309.2</v>
      </c>
      <c r="U72" s="5">
        <f>ROUND(AVERAGE(F72:T72),1)</f>
        <v>293.9</v>
      </c>
      <c r="V72" s="5">
        <f>MIN(F72:T72)</f>
        <v>210.0</v>
      </c>
      <c r="W72" s="5">
        <f>MAX(F72:T72)</f>
        <v>342.2</v>
      </c>
      <c r="X72" s="12">
        <f>ROUND(STDEV(F72:T72),1)</f>
        <v>41.1</v>
      </c>
      <c r="Y72" s="12">
        <f>ROUND(X72/U72*100,1)</f>
        <v>14.0</v>
      </c>
      <c r="Z72" s="12">
        <f>ROUND((U72-E72)/E72*100,1)</f>
        <v>-0.4</v>
      </c>
      <c r="AA72" s="4">
        <v>1.0</v>
      </c>
      <c r="AB72" s="4">
        <v>2.0</v>
      </c>
      <c r="AC72" s="3" t="s">
        <v>609</v>
      </c>
    </row>
    <row r="73" spans="8:8" ht="18.75" customHeight="1">
      <c r="A73" s="7" t="s">
        <v>616</v>
      </c>
      <c r="B73" s="8" t="s">
        <v>604</v>
      </c>
      <c r="C73" s="8" t="s">
        <v>617</v>
      </c>
      <c r="D73" s="8" t="s">
        <v>606</v>
      </c>
      <c r="E73" s="9">
        <v>315.0</v>
      </c>
      <c r="F73" s="10">
        <v>316.3</v>
      </c>
      <c r="G73" s="10">
        <v>249.5</v>
      </c>
      <c r="H73" s="10">
        <v>354.1</v>
      </c>
      <c r="I73" s="10">
        <v>255.8</v>
      </c>
      <c r="J73" s="10">
        <v>310.0</v>
      </c>
      <c r="K73" s="10">
        <v>318.8</v>
      </c>
      <c r="L73" s="10">
        <v>280.3</v>
      </c>
      <c r="M73" s="10">
        <v>321.9</v>
      </c>
      <c r="N73" s="10">
        <v>346.5</v>
      </c>
      <c r="O73" s="10">
        <v>308.1</v>
      </c>
      <c r="P73" s="10">
        <v>343.4</v>
      </c>
      <c r="Q73" s="10">
        <v>323.8</v>
      </c>
      <c r="R73" s="10">
        <v>247.6</v>
      </c>
      <c r="S73" s="10">
        <v>355.3</v>
      </c>
      <c r="T73" s="10">
        <v>320.0</v>
      </c>
      <c r="U73" s="10">
        <f>ROUND(AVERAGE(F73:T73),1)</f>
        <v>310.1</v>
      </c>
      <c r="V73" s="10">
        <f>MIN(F73:T73)</f>
        <v>247.6</v>
      </c>
      <c r="W73" s="10">
        <f>MAX(F73:T73)</f>
        <v>355.3</v>
      </c>
      <c r="X73" s="13">
        <f>ROUND(STDEV(F73:T73),1)</f>
        <v>36.2</v>
      </c>
      <c r="Y73" s="13">
        <f>ROUND(X73/U73*100,1)</f>
        <v>11.7</v>
      </c>
      <c r="Z73" s="13">
        <f>ROUND((U73-E73)/E73*100,1)</f>
        <v>-1.6</v>
      </c>
      <c r="AA73" s="9">
        <v>2.0</v>
      </c>
      <c r="AB73" s="9">
        <v>0.0</v>
      </c>
      <c r="AC73" s="8" t="s">
        <v>620</v>
      </c>
    </row>
    <row r="74" spans="8:8" ht="18.75" customHeight="1">
      <c r="A74" s="2" t="s">
        <v>624</v>
      </c>
      <c r="B74" s="3" t="s">
        <v>604</v>
      </c>
      <c r="C74" s="3" t="s">
        <v>625</v>
      </c>
      <c r="D74" s="3" t="s">
        <v>606</v>
      </c>
      <c r="E74" s="4">
        <v>225.0</v>
      </c>
      <c r="F74" s="5">
        <v>218.7</v>
      </c>
      <c r="G74" s="5">
        <v>239.4</v>
      </c>
      <c r="H74" s="5">
        <v>245.7</v>
      </c>
      <c r="I74" s="5">
        <v>175.5</v>
      </c>
      <c r="J74" s="5">
        <v>214.2</v>
      </c>
      <c r="K74" s="5">
        <v>220.5</v>
      </c>
      <c r="L74" s="5">
        <v>193.0</v>
      </c>
      <c r="M74" s="5">
        <v>222.8</v>
      </c>
      <c r="N74" s="5">
        <v>240.3</v>
      </c>
      <c r="O74" s="5">
        <v>212.9</v>
      </c>
      <c r="P74" s="5">
        <v>238.1</v>
      </c>
      <c r="Q74" s="5">
        <v>224.1</v>
      </c>
      <c r="R74" s="5">
        <v>238.1</v>
      </c>
      <c r="S74" s="5">
        <v>246.6</v>
      </c>
      <c r="T74" s="5">
        <v>221.4</v>
      </c>
      <c r="U74" s="5">
        <f>ROUND(AVERAGE(F74:T74),1)</f>
        <v>223.4</v>
      </c>
      <c r="V74" s="5">
        <f>MIN(F74:T74)</f>
        <v>175.5</v>
      </c>
      <c r="W74" s="5">
        <f>MAX(F74:T74)</f>
        <v>246.6</v>
      </c>
      <c r="X74" s="12">
        <f>ROUND(STDEV(F74:T74),1)</f>
        <v>19.7</v>
      </c>
      <c r="Y74" s="12">
        <f>ROUND(X74/U74*100,1)</f>
        <v>8.8</v>
      </c>
      <c r="Z74" s="12">
        <f>ROUND((U74-E74)/E74*100,1)</f>
        <v>-0.7</v>
      </c>
      <c r="AA74" s="4">
        <v>1.0</v>
      </c>
      <c r="AB74" s="4">
        <v>0.0</v>
      </c>
      <c r="AC74" s="3" t="s">
        <v>628</v>
      </c>
    </row>
    <row r="75" spans="8:8" ht="18.75" customHeight="1">
      <c r="A75" s="7" t="s">
        <v>632</v>
      </c>
      <c r="B75" s="8" t="s">
        <v>604</v>
      </c>
      <c r="C75" s="8" t="s">
        <v>633</v>
      </c>
      <c r="D75" s="8" t="s">
        <v>606</v>
      </c>
      <c r="E75" s="9">
        <v>445.0</v>
      </c>
      <c r="F75" s="10">
        <v>418.3</v>
      </c>
      <c r="G75" s="10">
        <v>459.2</v>
      </c>
      <c r="H75" s="10">
        <v>471.7</v>
      </c>
      <c r="I75" s="10">
        <v>332.9</v>
      </c>
      <c r="J75" s="10">
        <v>409.4</v>
      </c>
      <c r="K75" s="10">
        <v>421.9</v>
      </c>
      <c r="L75" s="10">
        <v>367.6</v>
      </c>
      <c r="M75" s="10">
        <v>426.3</v>
      </c>
      <c r="N75" s="10">
        <v>461.0</v>
      </c>
      <c r="O75" s="10">
        <v>542.0</v>
      </c>
      <c r="P75" s="10">
        <v>456.6</v>
      </c>
      <c r="Q75" s="10">
        <v>429.0</v>
      </c>
      <c r="R75" s="10">
        <v>456.6</v>
      </c>
      <c r="S75" s="10">
        <v>473.5</v>
      </c>
      <c r="T75" s="10">
        <v>423.6</v>
      </c>
      <c r="U75" s="10">
        <f>ROUND(AVERAGE(F75:T75),1)</f>
        <v>436.6</v>
      </c>
      <c r="V75" s="10">
        <f>MIN(F75:T75)</f>
        <v>332.9</v>
      </c>
      <c r="W75" s="10">
        <f>MAX(F75:T75)</f>
        <v>542.0</v>
      </c>
      <c r="X75" s="13">
        <f>ROUND(STDEV(F75:T75),1)</f>
        <v>48.4</v>
      </c>
      <c r="Y75" s="13">
        <f>ROUND(X75/U75*100,1)</f>
        <v>11.1</v>
      </c>
      <c r="Z75" s="13">
        <f>ROUND((U75-E75)/E75*100,1)</f>
        <v>-1.9</v>
      </c>
      <c r="AA75" s="9">
        <v>1.0</v>
      </c>
      <c r="AB75" s="9">
        <v>1.0</v>
      </c>
      <c r="AC75" s="8" t="s">
        <v>637</v>
      </c>
    </row>
    <row r="76" spans="8:8" ht="18.75" customHeight="1">
      <c r="A76" s="2" t="s">
        <v>643</v>
      </c>
      <c r="B76" s="3" t="s">
        <v>604</v>
      </c>
      <c r="C76" s="3" t="s">
        <v>644</v>
      </c>
      <c r="D76" s="3" t="s">
        <v>606</v>
      </c>
      <c r="E76" s="4">
        <v>465.0</v>
      </c>
      <c r="F76" s="5">
        <v>422.2</v>
      </c>
      <c r="G76" s="5">
        <v>465.0</v>
      </c>
      <c r="H76" s="5">
        <v>478.0</v>
      </c>
      <c r="I76" s="5">
        <v>332.9</v>
      </c>
      <c r="J76" s="5">
        <v>412.9</v>
      </c>
      <c r="K76" s="5">
        <v>425.9</v>
      </c>
      <c r="L76" s="5">
        <v>510.6</v>
      </c>
      <c r="M76" s="5">
        <v>430.6</v>
      </c>
      <c r="N76" s="5">
        <v>466.9</v>
      </c>
      <c r="O76" s="5">
        <v>551.5</v>
      </c>
      <c r="P76" s="5">
        <v>462.2</v>
      </c>
      <c r="Q76" s="5">
        <v>433.4</v>
      </c>
      <c r="R76" s="5">
        <v>462.2</v>
      </c>
      <c r="S76" s="5">
        <v>479.9</v>
      </c>
      <c r="T76" s="5">
        <v>569.2</v>
      </c>
      <c r="U76" s="5">
        <f>ROUND(AVERAGE(F76:T76),1)</f>
        <v>460.2</v>
      </c>
      <c r="V76" s="5">
        <f>MIN(F76:T76)</f>
        <v>332.9</v>
      </c>
      <c r="W76" s="5">
        <f>MAX(F76:T76)</f>
        <v>569.2</v>
      </c>
      <c r="X76" s="12">
        <f>ROUND(STDEV(F76:T76),1)</f>
        <v>57.4</v>
      </c>
      <c r="Y76" s="12">
        <f>ROUND(X76/U76*100,1)</f>
        <v>12.5</v>
      </c>
      <c r="Z76" s="12">
        <f>ROUND((U76-E76)/E76*100,1)</f>
        <v>-1.0</v>
      </c>
      <c r="AA76" s="4">
        <v>1.0</v>
      </c>
      <c r="AB76" s="4">
        <v>2.0</v>
      </c>
      <c r="AC76" s="3" t="s">
        <v>637</v>
      </c>
    </row>
    <row r="77" spans="8:8" ht="18.75" customHeight="1">
      <c r="A77" s="7" t="s">
        <v>649</v>
      </c>
      <c r="B77" s="8" t="s">
        <v>604</v>
      </c>
      <c r="C77" s="8" t="s">
        <v>650</v>
      </c>
      <c r="D77" s="8" t="s">
        <v>651</v>
      </c>
      <c r="E77" s="9">
        <v>565.0</v>
      </c>
      <c r="F77" s="10">
        <v>494.9</v>
      </c>
      <c r="G77" s="10">
        <v>546.9</v>
      </c>
      <c r="H77" s="10">
        <v>562.7</v>
      </c>
      <c r="I77" s="10">
        <v>558.2</v>
      </c>
      <c r="J77" s="10">
        <v>483.6</v>
      </c>
      <c r="K77" s="10">
        <v>499.5</v>
      </c>
      <c r="L77" s="10">
        <v>602.3</v>
      </c>
      <c r="M77" s="10">
        <v>505.1</v>
      </c>
      <c r="N77" s="10">
        <v>549.2</v>
      </c>
      <c r="O77" s="10">
        <v>652.0</v>
      </c>
      <c r="P77" s="10">
        <v>543.5</v>
      </c>
      <c r="Q77" s="10">
        <v>680.3</v>
      </c>
      <c r="R77" s="10">
        <v>543.5</v>
      </c>
      <c r="S77" s="10">
        <v>565.0</v>
      </c>
      <c r="T77" s="10">
        <v>673.5</v>
      </c>
      <c r="U77" s="10">
        <f>ROUND(AVERAGE(F77:T77),1)</f>
        <v>564.0</v>
      </c>
      <c r="V77" s="10">
        <f>MIN(F77:T77)</f>
        <v>483.6</v>
      </c>
      <c r="W77" s="10">
        <f>MAX(F77:T77)</f>
        <v>680.3</v>
      </c>
      <c r="X77" s="13">
        <f>ROUND(STDEV(F77:T77),1)</f>
        <v>62.7</v>
      </c>
      <c r="Y77" s="13">
        <f>ROUND(X77/U77*100,1)</f>
        <v>11.1</v>
      </c>
      <c r="Z77" s="13">
        <f>ROUND((U77-E77)/E77*100,1)</f>
        <v>-0.2</v>
      </c>
      <c r="AA77" s="9">
        <v>0.0</v>
      </c>
      <c r="AB77" s="9">
        <v>3.0</v>
      </c>
      <c r="AC77" s="8" t="s">
        <v>637</v>
      </c>
    </row>
    <row r="78" spans="8:8" ht="18.75" customHeight="1">
      <c r="A78" s="2" t="s">
        <v>656</v>
      </c>
      <c r="B78" s="3" t="s">
        <v>604</v>
      </c>
      <c r="C78" s="3" t="s">
        <v>657</v>
      </c>
      <c r="D78" s="3" t="s">
        <v>651</v>
      </c>
      <c r="E78" s="4">
        <v>665.0</v>
      </c>
      <c r="F78" s="5">
        <v>731.5</v>
      </c>
      <c r="G78" s="5">
        <v>618.5</v>
      </c>
      <c r="H78" s="5">
        <v>665.0</v>
      </c>
      <c r="I78" s="5">
        <v>611.8</v>
      </c>
      <c r="J78" s="5">
        <v>551.9</v>
      </c>
      <c r="K78" s="5">
        <v>598.5</v>
      </c>
      <c r="L78" s="5">
        <v>671.6</v>
      </c>
      <c r="M78" s="5">
        <v>585.2</v>
      </c>
      <c r="N78" s="5">
        <v>791.4</v>
      </c>
      <c r="O78" s="5">
        <v>738.2</v>
      </c>
      <c r="P78" s="5">
        <v>638.4</v>
      </c>
      <c r="Q78" s="5">
        <v>751.5</v>
      </c>
      <c r="R78" s="5">
        <v>618.5</v>
      </c>
      <c r="S78" s="5">
        <v>671.6</v>
      </c>
      <c r="T78" s="5">
        <v>751.5</v>
      </c>
      <c r="U78" s="5">
        <f>ROUND(AVERAGE(F78:T78),1)</f>
        <v>666.3</v>
      </c>
      <c r="V78" s="5">
        <f>MIN(F78:T78)</f>
        <v>551.9</v>
      </c>
      <c r="W78" s="5">
        <f>MAX(F78:T78)</f>
        <v>791.4</v>
      </c>
      <c r="X78" s="12">
        <f>ROUND(STDEV(F78:T78),1)</f>
        <v>71.8</v>
      </c>
      <c r="Y78" s="12">
        <f>ROUND(X78/U78*100,1)</f>
        <v>10.8</v>
      </c>
      <c r="Z78" s="12">
        <f>ROUND((U78-E78)/E78*100,1)</f>
        <v>0.2</v>
      </c>
      <c r="AA78" s="4">
        <v>0.0</v>
      </c>
      <c r="AB78" s="4">
        <v>1.0</v>
      </c>
      <c r="AC78" s="3" t="s">
        <v>637</v>
      </c>
    </row>
    <row r="79" spans="8:8" ht="18.75" customHeight="1">
      <c r="A79" s="7" t="s">
        <v>662</v>
      </c>
      <c r="B79" s="8" t="s">
        <v>604</v>
      </c>
      <c r="C79" s="8" t="s">
        <v>663</v>
      </c>
      <c r="D79" s="8" t="s">
        <v>651</v>
      </c>
      <c r="E79" s="9">
        <v>725.0</v>
      </c>
      <c r="F79" s="10">
        <v>783.0</v>
      </c>
      <c r="G79" s="10">
        <v>659.8</v>
      </c>
      <c r="H79" s="10">
        <v>710.5</v>
      </c>
      <c r="I79" s="10">
        <v>652.5</v>
      </c>
      <c r="J79" s="10">
        <v>587.2</v>
      </c>
      <c r="K79" s="10">
        <v>775.8</v>
      </c>
      <c r="L79" s="10">
        <v>717.8</v>
      </c>
      <c r="M79" s="10">
        <v>623.5</v>
      </c>
      <c r="N79" s="10">
        <v>848.3</v>
      </c>
      <c r="O79" s="10">
        <v>790.3</v>
      </c>
      <c r="P79" s="10">
        <v>681.5</v>
      </c>
      <c r="Q79" s="10">
        <v>804.8</v>
      </c>
      <c r="R79" s="10">
        <v>659.8</v>
      </c>
      <c r="S79" s="10">
        <v>717.8</v>
      </c>
      <c r="T79" s="10">
        <v>804.8</v>
      </c>
      <c r="U79" s="10">
        <f>ROUND(AVERAGE(F79:T79),1)</f>
        <v>721.2</v>
      </c>
      <c r="V79" s="10">
        <f>MIN(F79:T79)</f>
        <v>587.2</v>
      </c>
      <c r="W79" s="10">
        <f>MAX(F79:T79)</f>
        <v>848.3</v>
      </c>
      <c r="X79" s="13">
        <f>ROUND(STDEV(F79:T79),1)</f>
        <v>77.1</v>
      </c>
      <c r="Y79" s="13">
        <f>ROUND(X79/U79*100,1)</f>
        <v>10.7</v>
      </c>
      <c r="Z79" s="13">
        <f>ROUND((U79-E79)/E79*100,1)</f>
        <v>-0.5</v>
      </c>
      <c r="AA79" s="9">
        <v>0.0</v>
      </c>
      <c r="AB79" s="9">
        <v>1.0</v>
      </c>
      <c r="AC79" s="8" t="s">
        <v>171</v>
      </c>
    </row>
    <row r="80" spans="8:8" ht="18.75" customHeight="1">
      <c r="A80" s="2" t="s">
        <v>668</v>
      </c>
      <c r="B80" s="3" t="s">
        <v>604</v>
      </c>
      <c r="C80" s="3" t="s">
        <v>669</v>
      </c>
      <c r="D80" s="3" t="s">
        <v>651</v>
      </c>
      <c r="E80" s="4">
        <v>895.0</v>
      </c>
      <c r="F80" s="5">
        <v>948.7</v>
      </c>
      <c r="G80" s="5">
        <v>796.6</v>
      </c>
      <c r="H80" s="5">
        <v>1029.3</v>
      </c>
      <c r="I80" s="5">
        <v>787.6</v>
      </c>
      <c r="J80" s="5">
        <v>707.0</v>
      </c>
      <c r="K80" s="5">
        <v>939.8</v>
      </c>
      <c r="L80" s="5">
        <v>868.1</v>
      </c>
      <c r="M80" s="5">
        <v>751.8</v>
      </c>
      <c r="N80" s="5">
        <v>1029.3</v>
      </c>
      <c r="O80" s="5">
        <v>957.7</v>
      </c>
      <c r="P80" s="5">
        <v>823.4</v>
      </c>
      <c r="Q80" s="5">
        <v>975.6</v>
      </c>
      <c r="R80" s="5">
        <v>796.6</v>
      </c>
      <c r="S80" s="5">
        <v>1038.2</v>
      </c>
      <c r="T80" s="5">
        <v>975.6</v>
      </c>
      <c r="U80" s="5">
        <f>ROUND(AVERAGE(F80:T80),1)</f>
        <v>895.0</v>
      </c>
      <c r="V80" s="5">
        <f>MIN(F80:T80)</f>
        <v>707.0</v>
      </c>
      <c r="W80" s="5">
        <f>MAX(F80:T80)</f>
        <v>1038.2</v>
      </c>
      <c r="X80" s="12">
        <f>ROUND(STDEV(F80:T80),1)</f>
        <v>110.5</v>
      </c>
      <c r="Y80" s="12">
        <f>ROUND(X80/U80*100,1)</f>
        <v>12.3</v>
      </c>
      <c r="Z80" s="12">
        <f>ROUND((U80-E80)/E80*100,1)</f>
        <v>0.0</v>
      </c>
      <c r="AA80" s="4">
        <v>1.0</v>
      </c>
      <c r="AB80" s="4">
        <v>3.0</v>
      </c>
      <c r="AC80" s="3" t="s">
        <v>171</v>
      </c>
    </row>
    <row r="81" spans="8:8" ht="18.75" customHeight="1">
      <c r="A81" s="7" t="s">
        <v>674</v>
      </c>
      <c r="B81" s="8" t="s">
        <v>604</v>
      </c>
      <c r="C81" s="8" t="s">
        <v>675</v>
      </c>
      <c r="D81" s="8" t="s">
        <v>651</v>
      </c>
      <c r="E81" s="9">
        <v>880.0</v>
      </c>
      <c r="F81" s="10">
        <v>915.2</v>
      </c>
      <c r="G81" s="10">
        <v>765.6</v>
      </c>
      <c r="H81" s="10">
        <v>994.4</v>
      </c>
      <c r="I81" s="10">
        <v>756.8</v>
      </c>
      <c r="J81" s="10">
        <v>677.6</v>
      </c>
      <c r="K81" s="10">
        <v>906.4</v>
      </c>
      <c r="L81" s="10">
        <v>836.0</v>
      </c>
      <c r="M81" s="10">
        <v>721.6</v>
      </c>
      <c r="N81" s="10">
        <v>994.4</v>
      </c>
      <c r="O81" s="10">
        <v>924.0</v>
      </c>
      <c r="P81" s="10">
        <v>959.2</v>
      </c>
      <c r="Q81" s="10">
        <v>941.6</v>
      </c>
      <c r="R81" s="10">
        <v>765.6</v>
      </c>
      <c r="S81" s="10">
        <v>1003.2</v>
      </c>
      <c r="T81" s="10">
        <v>941.6</v>
      </c>
      <c r="U81" s="10">
        <f>ROUND(AVERAGE(F81:T81),1)</f>
        <v>873.5</v>
      </c>
      <c r="V81" s="10">
        <f>MIN(F81:T81)</f>
        <v>677.6</v>
      </c>
      <c r="W81" s="10">
        <f>MAX(F81:T81)</f>
        <v>1003.2</v>
      </c>
      <c r="X81" s="13">
        <f>ROUND(STDEV(F81:T81),1)</f>
        <v>109.5</v>
      </c>
      <c r="Y81" s="13">
        <f>ROUND(X81/U81*100,1)</f>
        <v>12.5</v>
      </c>
      <c r="Z81" s="13">
        <f>ROUND((U81-E81)/E81*100,1)</f>
        <v>-0.7</v>
      </c>
      <c r="AA81" s="9">
        <v>1.0</v>
      </c>
      <c r="AB81" s="9">
        <v>0.0</v>
      </c>
      <c r="AC81" s="8" t="s">
        <v>171</v>
      </c>
    </row>
    <row r="82" spans="8:8" ht="18.75" customHeight="1">
      <c r="A82" s="2" t="s">
        <v>679</v>
      </c>
      <c r="B82" s="3" t="s">
        <v>680</v>
      </c>
      <c r="C82" s="3" t="s">
        <v>681</v>
      </c>
      <c r="D82" s="3" t="s">
        <v>680</v>
      </c>
      <c r="E82" s="4">
        <v>960.0</v>
      </c>
      <c r="F82" s="5">
        <v>979.2</v>
      </c>
      <c r="G82" s="5">
        <v>816.0</v>
      </c>
      <c r="H82" s="5">
        <v>1065.6</v>
      </c>
      <c r="I82" s="5">
        <v>806.4</v>
      </c>
      <c r="J82" s="5">
        <v>720.0</v>
      </c>
      <c r="K82" s="5">
        <v>969.6</v>
      </c>
      <c r="L82" s="5">
        <v>892.8</v>
      </c>
      <c r="M82" s="5">
        <v>950.4</v>
      </c>
      <c r="N82" s="5">
        <v>1065.6</v>
      </c>
      <c r="O82" s="5">
        <v>988.8</v>
      </c>
      <c r="P82" s="5">
        <v>1027.2</v>
      </c>
      <c r="Q82" s="5">
        <v>1008.0</v>
      </c>
      <c r="R82" s="5">
        <v>816.0</v>
      </c>
      <c r="S82" s="5">
        <v>1075.2</v>
      </c>
      <c r="T82" s="5">
        <v>1008.0</v>
      </c>
      <c r="U82" s="5">
        <f>ROUND(AVERAGE(F82:T82),1)</f>
        <v>945.9</v>
      </c>
      <c r="V82" s="5">
        <f>MIN(F82:T82)</f>
        <v>720.0</v>
      </c>
      <c r="W82" s="5">
        <f>MAX(F82:T82)</f>
        <v>1075.2</v>
      </c>
      <c r="X82" s="12">
        <f>ROUND(STDEV(F82:T82),1)</f>
        <v>110.3</v>
      </c>
      <c r="Y82" s="12">
        <f>ROUND(X82/U82*100,1)</f>
        <v>11.7</v>
      </c>
      <c r="Z82" s="12">
        <f>ROUND((U82-E82)/E82*100,1)</f>
        <v>-1.5</v>
      </c>
      <c r="AA82" s="4">
        <v>1.0</v>
      </c>
      <c r="AB82" s="4">
        <v>0.0</v>
      </c>
      <c r="AC82" s="3" t="s">
        <v>685</v>
      </c>
    </row>
    <row r="83" spans="8:8" ht="18.75" customHeight="1">
      <c r="A83" s="7" t="s">
        <v>688</v>
      </c>
      <c r="B83" s="8" t="s">
        <v>680</v>
      </c>
      <c r="C83" s="8" t="s">
        <v>689</v>
      </c>
      <c r="D83" s="8" t="s">
        <v>680</v>
      </c>
      <c r="E83" s="9">
        <v>665.0</v>
      </c>
      <c r="F83" s="10">
        <v>665.0</v>
      </c>
      <c r="G83" s="10">
        <v>552.0</v>
      </c>
      <c r="H83" s="10">
        <v>724.9</v>
      </c>
      <c r="I83" s="10">
        <v>545.3</v>
      </c>
      <c r="J83" s="10">
        <v>611.8</v>
      </c>
      <c r="K83" s="10">
        <v>658.4</v>
      </c>
      <c r="L83" s="10">
        <v>605.1</v>
      </c>
      <c r="M83" s="10">
        <v>645.0</v>
      </c>
      <c r="N83" s="10">
        <v>724.9</v>
      </c>
      <c r="O83" s="10">
        <v>671.6</v>
      </c>
      <c r="P83" s="10">
        <v>698.2</v>
      </c>
      <c r="Q83" s="10">
        <v>685.0</v>
      </c>
      <c r="R83" s="10">
        <v>678.3</v>
      </c>
      <c r="S83" s="10">
        <v>731.5</v>
      </c>
      <c r="T83" s="10">
        <v>685.0</v>
      </c>
      <c r="U83" s="10">
        <f>ROUND(AVERAGE(F83:T83),1)</f>
        <v>658.8</v>
      </c>
      <c r="V83" s="10">
        <f>MIN(F83:T83)</f>
        <v>545.3</v>
      </c>
      <c r="W83" s="10">
        <f>MAX(F83:T83)</f>
        <v>731.5</v>
      </c>
      <c r="X83" s="13">
        <f>ROUND(STDEV(F83:T83),1)</f>
        <v>58.0</v>
      </c>
      <c r="Y83" s="13">
        <f>ROUND(X83/U83*100,1)</f>
        <v>8.8</v>
      </c>
      <c r="Z83" s="13">
        <f>ROUND((U83-E83)/E83*100,1)</f>
        <v>-0.9</v>
      </c>
      <c r="AA83" s="9">
        <v>0.0</v>
      </c>
      <c r="AB83" s="9">
        <v>0.0</v>
      </c>
      <c r="AC83" s="8" t="s">
        <v>685</v>
      </c>
    </row>
    <row r="84" spans="8:8" ht="18.75" customHeight="1">
      <c r="A84" s="2" t="s">
        <v>694</v>
      </c>
      <c r="B84" s="3" t="s">
        <v>680</v>
      </c>
      <c r="C84" s="3" t="s">
        <v>695</v>
      </c>
      <c r="D84" s="3" t="s">
        <v>680</v>
      </c>
      <c r="E84" s="4">
        <v>410.0</v>
      </c>
      <c r="F84" s="5">
        <v>392.0</v>
      </c>
      <c r="G84" s="5">
        <v>429.7</v>
      </c>
      <c r="H84" s="5">
        <v>441.2</v>
      </c>
      <c r="I84" s="5">
        <v>313.2</v>
      </c>
      <c r="J84" s="5">
        <v>383.8</v>
      </c>
      <c r="K84" s="5">
        <v>395.2</v>
      </c>
      <c r="L84" s="5">
        <v>345.2</v>
      </c>
      <c r="M84" s="5">
        <v>399.3</v>
      </c>
      <c r="N84" s="5">
        <v>431.3</v>
      </c>
      <c r="O84" s="5">
        <v>505.9</v>
      </c>
      <c r="P84" s="5">
        <v>427.2</v>
      </c>
      <c r="Q84" s="5">
        <v>401.8</v>
      </c>
      <c r="R84" s="5">
        <v>427.2</v>
      </c>
      <c r="S84" s="5">
        <v>442.8</v>
      </c>
      <c r="T84" s="5">
        <v>396.9</v>
      </c>
      <c r="U84" s="5">
        <f>ROUND(AVERAGE(F84:T84),1)</f>
        <v>408.8</v>
      </c>
      <c r="V84" s="5">
        <f>MIN(F84:T84)</f>
        <v>313.2</v>
      </c>
      <c r="W84" s="5">
        <f>MAX(F84:T84)</f>
        <v>505.9</v>
      </c>
      <c r="X84" s="12">
        <f>ROUND(STDEV(F84:T84),1)</f>
        <v>44.6</v>
      </c>
      <c r="Y84" s="12">
        <f>ROUND(X84/U84*100,1)</f>
        <v>10.9</v>
      </c>
      <c r="Z84" s="12">
        <f>ROUND((U84-E84)/E84*100,1)</f>
        <v>-0.3</v>
      </c>
      <c r="AA84" s="4">
        <v>1.0</v>
      </c>
      <c r="AB84" s="4">
        <v>1.0</v>
      </c>
      <c r="AC84" s="3" t="s">
        <v>685</v>
      </c>
    </row>
    <row r="85" spans="8:8" ht="18.75" customHeight="1">
      <c r="A85" s="7" t="s">
        <v>703</v>
      </c>
      <c r="B85" s="8" t="s">
        <v>704</v>
      </c>
      <c r="C85" s="8" t="s">
        <v>705</v>
      </c>
      <c r="D85" s="8" t="s">
        <v>706</v>
      </c>
      <c r="E85" s="9">
        <v>745.0</v>
      </c>
      <c r="F85" s="10">
        <v>715.2</v>
      </c>
      <c r="G85" s="10">
        <v>730.1</v>
      </c>
      <c r="H85" s="10">
        <v>782.2</v>
      </c>
      <c r="I85" s="10">
        <v>581.1</v>
      </c>
      <c r="J85" s="10">
        <v>655.6</v>
      </c>
      <c r="K85" s="10">
        <v>707.8</v>
      </c>
      <c r="L85" s="10">
        <v>789.7</v>
      </c>
      <c r="M85" s="10">
        <v>692.9</v>
      </c>
      <c r="N85" s="10">
        <v>782.2</v>
      </c>
      <c r="O85" s="10">
        <v>864.2</v>
      </c>
      <c r="P85" s="10">
        <v>752.5</v>
      </c>
      <c r="Q85" s="10">
        <v>737.5</v>
      </c>
      <c r="R85" s="10">
        <v>730.1</v>
      </c>
      <c r="S85" s="10">
        <v>789.7</v>
      </c>
      <c r="T85" s="10">
        <v>737.6</v>
      </c>
      <c r="U85" s="10">
        <f>ROUND(AVERAGE(F85:T85),1)</f>
        <v>736.6</v>
      </c>
      <c r="V85" s="10">
        <f>MIN(F85:T85)</f>
        <v>581.1</v>
      </c>
      <c r="W85" s="10">
        <f>MAX(F85:T85)</f>
        <v>864.2</v>
      </c>
      <c r="X85" s="13">
        <f>ROUND(STDEV(F85:T85),1)</f>
        <v>65.7</v>
      </c>
      <c r="Y85" s="13">
        <f>ROUND(X85/U85*100,1)</f>
        <v>8.9</v>
      </c>
      <c r="Z85" s="13">
        <f>ROUND((U85-E85)/E85*100,1)</f>
        <v>-1.1</v>
      </c>
      <c r="AA85" s="9">
        <v>1.0</v>
      </c>
      <c r="AB85" s="9">
        <v>1.0</v>
      </c>
      <c r="AC85" s="8" t="s">
        <v>685</v>
      </c>
    </row>
    <row r="86" spans="8:8" ht="18.75" customHeight="1">
      <c r="A86" s="2" t="s">
        <v>711</v>
      </c>
      <c r="B86" s="3" t="s">
        <v>704</v>
      </c>
      <c r="C86" s="3" t="s">
        <v>712</v>
      </c>
      <c r="D86" s="3" t="s">
        <v>706</v>
      </c>
      <c r="E86" s="4">
        <v>415.0</v>
      </c>
      <c r="F86" s="5">
        <v>370.2</v>
      </c>
      <c r="G86" s="5">
        <v>408.4</v>
      </c>
      <c r="H86" s="5">
        <v>420.0</v>
      </c>
      <c r="I86" s="5">
        <v>416.7</v>
      </c>
      <c r="J86" s="5">
        <v>361.9</v>
      </c>
      <c r="K86" s="5">
        <v>373.5</v>
      </c>
      <c r="L86" s="5">
        <v>449.0</v>
      </c>
      <c r="M86" s="5">
        <v>377.7</v>
      </c>
      <c r="N86" s="5">
        <v>410.0</v>
      </c>
      <c r="O86" s="5">
        <v>485.6</v>
      </c>
      <c r="P86" s="5">
        <v>405.9</v>
      </c>
      <c r="Q86" s="5">
        <v>380.1</v>
      </c>
      <c r="R86" s="5">
        <v>405.9</v>
      </c>
      <c r="S86" s="5">
        <v>421.6</v>
      </c>
      <c r="T86" s="5">
        <v>501.3</v>
      </c>
      <c r="U86" s="5">
        <f>ROUND(AVERAGE(F86:T86),1)</f>
        <v>412.5</v>
      </c>
      <c r="V86" s="5">
        <f>MIN(F86:T86)</f>
        <v>361.9</v>
      </c>
      <c r="W86" s="5">
        <f>MAX(F86:T86)</f>
        <v>501.3</v>
      </c>
      <c r="X86" s="12">
        <f>ROUND(STDEV(F86:T86),1)</f>
        <v>40.5</v>
      </c>
      <c r="Y86" s="12">
        <f>ROUND(X86/U86*100,1)</f>
        <v>9.8</v>
      </c>
      <c r="Z86" s="12">
        <f>ROUND((U86-E86)/E86*100,1)</f>
        <v>-0.6</v>
      </c>
      <c r="AA86" s="4">
        <v>0.0</v>
      </c>
      <c r="AB86" s="4">
        <v>2.0</v>
      </c>
      <c r="AC86" s="3" t="s">
        <v>685</v>
      </c>
    </row>
    <row r="87" spans="8:8" ht="18.75" customHeight="1">
      <c r="A87" s="7" t="s">
        <v>717</v>
      </c>
      <c r="B87" s="8" t="s">
        <v>704</v>
      </c>
      <c r="C87" s="8" t="s">
        <v>718</v>
      </c>
      <c r="D87" s="8" t="s">
        <v>706</v>
      </c>
      <c r="E87" s="9">
        <v>525.0</v>
      </c>
      <c r="F87" s="10">
        <v>611.1</v>
      </c>
      <c r="G87" s="10">
        <v>499.8</v>
      </c>
      <c r="H87" s="10">
        <v>514.5</v>
      </c>
      <c r="I87" s="10">
        <v>510.3</v>
      </c>
      <c r="J87" s="10">
        <v>441.0</v>
      </c>
      <c r="K87" s="10">
        <v>455.7</v>
      </c>
      <c r="L87" s="10">
        <v>551.2</v>
      </c>
      <c r="M87" s="10">
        <v>460.9</v>
      </c>
      <c r="N87" s="10">
        <v>501.9</v>
      </c>
      <c r="O87" s="10">
        <v>597.5</v>
      </c>
      <c r="P87" s="10">
        <v>496.6</v>
      </c>
      <c r="Q87" s="10">
        <v>623.7</v>
      </c>
      <c r="R87" s="10">
        <v>496.7</v>
      </c>
      <c r="S87" s="10">
        <v>516.6</v>
      </c>
      <c r="T87" s="10">
        <v>617.4</v>
      </c>
      <c r="U87" s="10">
        <f>ROUND(AVERAGE(F87:T87),1)</f>
        <v>526.3</v>
      </c>
      <c r="V87" s="10">
        <f>MIN(F87:T87)</f>
        <v>441.0</v>
      </c>
      <c r="W87" s="10">
        <f>MAX(F87:T87)</f>
        <v>623.7</v>
      </c>
      <c r="X87" s="13">
        <f>ROUND(STDEV(F87:T87),1)</f>
        <v>60.2</v>
      </c>
      <c r="Y87" s="13">
        <f>ROUND(X87/U87*100,1)</f>
        <v>11.4</v>
      </c>
      <c r="Z87" s="13">
        <f>ROUND((U87-E87)/E87*100,1)</f>
        <v>0.2</v>
      </c>
      <c r="AA87" s="9">
        <v>0.0</v>
      </c>
      <c r="AB87" s="9">
        <v>3.0</v>
      </c>
      <c r="AC87" s="8" t="s">
        <v>685</v>
      </c>
    </row>
    <row r="88" spans="8:8" ht="18.75" customHeight="1">
      <c r="A88" s="2" t="s">
        <v>722</v>
      </c>
      <c r="B88" s="3" t="s">
        <v>723</v>
      </c>
      <c r="C88" s="3" t="s">
        <v>724</v>
      </c>
      <c r="D88" s="3" t="s">
        <v>706</v>
      </c>
      <c r="E88" s="4">
        <v>695.0</v>
      </c>
      <c r="F88" s="5">
        <v>757.6</v>
      </c>
      <c r="G88" s="5">
        <v>639.4</v>
      </c>
      <c r="H88" s="5">
        <v>688.0</v>
      </c>
      <c r="I88" s="5">
        <v>632.5</v>
      </c>
      <c r="J88" s="5">
        <v>569.9</v>
      </c>
      <c r="K88" s="5">
        <v>618.5</v>
      </c>
      <c r="L88" s="5">
        <v>695.0</v>
      </c>
      <c r="M88" s="5">
        <v>604.6</v>
      </c>
      <c r="N88" s="5">
        <v>820.1</v>
      </c>
      <c r="O88" s="5">
        <v>764.5</v>
      </c>
      <c r="P88" s="5">
        <v>660.2</v>
      </c>
      <c r="Q88" s="5">
        <v>778.4</v>
      </c>
      <c r="R88" s="5">
        <v>639.4</v>
      </c>
      <c r="S88" s="5">
        <v>695.0</v>
      </c>
      <c r="T88" s="5">
        <v>778.4</v>
      </c>
      <c r="U88" s="5">
        <f>ROUND(AVERAGE(F88:T88),1)</f>
        <v>689.4</v>
      </c>
      <c r="V88" s="5">
        <f>MIN(F88:T88)</f>
        <v>569.9</v>
      </c>
      <c r="W88" s="5">
        <f>MAX(F88:T88)</f>
        <v>820.1</v>
      </c>
      <c r="X88" s="12">
        <f>ROUND(STDEV(F88:T88),1)</f>
        <v>75.1</v>
      </c>
      <c r="Y88" s="12">
        <f>ROUND(X88/U88*100,1)</f>
        <v>10.9</v>
      </c>
      <c r="Z88" s="12">
        <f>ROUND((U88-E88)/E88*100,1)</f>
        <v>-0.8</v>
      </c>
      <c r="AA88" s="4">
        <v>0.0</v>
      </c>
      <c r="AB88" s="4">
        <v>1.0</v>
      </c>
      <c r="AC88" s="3" t="s">
        <v>685</v>
      </c>
    </row>
    <row r="89" spans="8:8" ht="18.75" customHeight="1">
      <c r="A89" s="7" t="s">
        <v>733</v>
      </c>
      <c r="B89" s="8" t="s">
        <v>734</v>
      </c>
      <c r="C89" s="8" t="s">
        <v>735</v>
      </c>
      <c r="D89" s="8" t="s">
        <v>737</v>
      </c>
      <c r="E89" s="9">
        <v>1180.0</v>
      </c>
      <c r="F89" s="10">
        <v>1262.6</v>
      </c>
      <c r="G89" s="10">
        <v>1062.0</v>
      </c>
      <c r="H89" s="10">
        <v>1144.6</v>
      </c>
      <c r="I89" s="10">
        <v>1050.2</v>
      </c>
      <c r="J89" s="10">
        <v>944.0</v>
      </c>
      <c r="K89" s="10">
        <v>1250.8</v>
      </c>
      <c r="L89" s="10">
        <v>1156.4</v>
      </c>
      <c r="M89" s="10">
        <v>1003.0</v>
      </c>
      <c r="N89" s="10">
        <v>1368.8</v>
      </c>
      <c r="O89" s="10">
        <v>1274.4</v>
      </c>
      <c r="P89" s="10">
        <v>1097.4</v>
      </c>
      <c r="Q89" s="10">
        <v>1298.0</v>
      </c>
      <c r="R89" s="10">
        <v>1062.0</v>
      </c>
      <c r="S89" s="10">
        <v>1380.6</v>
      </c>
      <c r="T89" s="10">
        <v>1298.0</v>
      </c>
      <c r="U89" s="10">
        <f>ROUND(AVERAGE(F89:T89),1)</f>
        <v>1176.9</v>
      </c>
      <c r="V89" s="10">
        <f>MIN(F89:T89)</f>
        <v>944.0</v>
      </c>
      <c r="W89" s="10">
        <f>MAX(F89:T89)</f>
        <v>1380.6</v>
      </c>
      <c r="X89" s="13">
        <f>ROUND(STDEV(F89:T89),1)</f>
        <v>137.5</v>
      </c>
      <c r="Y89" s="13">
        <f>ROUND(X89/U89*100,1)</f>
        <v>11.7</v>
      </c>
      <c r="Z89" s="13">
        <f>ROUND((U89-E89)/E89*100,1)</f>
        <v>-0.3</v>
      </c>
      <c r="AA89" s="9">
        <v>0.0</v>
      </c>
      <c r="AB89" s="9">
        <v>2.0</v>
      </c>
      <c r="AC89" s="8" t="s">
        <v>741</v>
      </c>
    </row>
    <row r="90" spans="8:8" ht="18.75" customHeight="1">
      <c r="A90" s="2" t="s">
        <v>746</v>
      </c>
      <c r="B90" s="3" t="s">
        <v>734</v>
      </c>
      <c r="C90" s="3" t="s">
        <v>747</v>
      </c>
      <c r="D90" s="3" t="s">
        <v>737</v>
      </c>
      <c r="E90" s="4">
        <v>835.0</v>
      </c>
      <c r="F90" s="5">
        <v>876.8</v>
      </c>
      <c r="G90" s="5">
        <v>734.8</v>
      </c>
      <c r="H90" s="5">
        <v>951.9</v>
      </c>
      <c r="I90" s="5">
        <v>726.5</v>
      </c>
      <c r="J90" s="5">
        <v>651.3</v>
      </c>
      <c r="K90" s="5">
        <v>868.4</v>
      </c>
      <c r="L90" s="5">
        <v>801.6</v>
      </c>
      <c r="M90" s="5">
        <v>693.1</v>
      </c>
      <c r="N90" s="5">
        <v>951.9</v>
      </c>
      <c r="O90" s="5">
        <v>885.1</v>
      </c>
      <c r="P90" s="5">
        <v>918.5</v>
      </c>
      <c r="Q90" s="5">
        <v>901.8</v>
      </c>
      <c r="R90" s="5">
        <v>734.8</v>
      </c>
      <c r="S90" s="5">
        <v>960.3</v>
      </c>
      <c r="T90" s="5">
        <v>901.8</v>
      </c>
      <c r="U90" s="5">
        <f>ROUND(AVERAGE(F90:T90),1)</f>
        <v>837.2</v>
      </c>
      <c r="V90" s="5">
        <f>MIN(F90:T90)</f>
        <v>651.3</v>
      </c>
      <c r="W90" s="5">
        <f>MAX(F90:T90)</f>
        <v>960.3</v>
      </c>
      <c r="X90" s="12">
        <f>ROUND(STDEV(F90:T90),1)</f>
        <v>103.9</v>
      </c>
      <c r="Y90" s="12">
        <f>ROUND(X90/U90*100,1)</f>
        <v>12.4</v>
      </c>
      <c r="Z90" s="12">
        <f>ROUND((U90-E90)/E90*100,1)</f>
        <v>0.3</v>
      </c>
      <c r="AA90" s="4">
        <v>1.0</v>
      </c>
      <c r="AB90" s="4">
        <v>1.0</v>
      </c>
      <c r="AC90" s="3" t="s">
        <v>741</v>
      </c>
    </row>
    <row r="91" spans="8:8" ht="18.75" customHeight="1">
      <c r="A91" s="7" t="s">
        <v>752</v>
      </c>
      <c r="B91" s="8" t="s">
        <v>734</v>
      </c>
      <c r="C91" s="8" t="s">
        <v>753</v>
      </c>
      <c r="D91" s="8" t="s">
        <v>737</v>
      </c>
      <c r="E91" s="9">
        <v>965.0</v>
      </c>
      <c r="F91" s="10">
        <v>994.0</v>
      </c>
      <c r="G91" s="10">
        <v>829.9</v>
      </c>
      <c r="H91" s="10">
        <v>1080.8</v>
      </c>
      <c r="I91" s="10">
        <v>820.2</v>
      </c>
      <c r="J91" s="10">
        <v>733.4</v>
      </c>
      <c r="K91" s="10">
        <v>984.3</v>
      </c>
      <c r="L91" s="10">
        <v>907.1</v>
      </c>
      <c r="M91" s="10">
        <v>965.0</v>
      </c>
      <c r="N91" s="10">
        <v>1080.8</v>
      </c>
      <c r="O91" s="10">
        <v>1003.6</v>
      </c>
      <c r="P91" s="10">
        <v>1042.2</v>
      </c>
      <c r="Q91" s="10">
        <v>1022.9</v>
      </c>
      <c r="R91" s="10">
        <v>829.9</v>
      </c>
      <c r="S91" s="10">
        <v>1090.5</v>
      </c>
      <c r="T91" s="10">
        <v>1022.9</v>
      </c>
      <c r="U91" s="10">
        <f>ROUND(AVERAGE(F91:T91),1)</f>
        <v>960.5</v>
      </c>
      <c r="V91" s="10">
        <f>MIN(F91:T91)</f>
        <v>733.4</v>
      </c>
      <c r="W91" s="10">
        <f>MAX(F91:T91)</f>
        <v>1090.5</v>
      </c>
      <c r="X91" s="13">
        <f>ROUND(STDEV(F91:T91),1)</f>
        <v>110.9</v>
      </c>
      <c r="Y91" s="13">
        <f>ROUND(X91/U91*100,1)</f>
        <v>11.5</v>
      </c>
      <c r="Z91" s="13">
        <f>ROUND((U91-E91)/E91*100,1)</f>
        <v>-0.5</v>
      </c>
      <c r="AA91" s="9">
        <v>1.0</v>
      </c>
      <c r="AB91" s="9">
        <v>0.0</v>
      </c>
      <c r="AC91" s="8" t="s">
        <v>171</v>
      </c>
    </row>
    <row r="92" spans="8:8" ht="18.75" customHeight="1">
      <c r="A92" s="2" t="s">
        <v>757</v>
      </c>
      <c r="B92" s="3" t="s">
        <v>734</v>
      </c>
      <c r="C92" s="3" t="s">
        <v>758</v>
      </c>
      <c r="D92" s="3" t="s">
        <v>737</v>
      </c>
      <c r="E92" s="4">
        <v>685.0</v>
      </c>
      <c r="F92" s="5">
        <v>691.9</v>
      </c>
      <c r="G92" s="5">
        <v>575.4</v>
      </c>
      <c r="H92" s="5">
        <v>753.5</v>
      </c>
      <c r="I92" s="5">
        <v>568.5</v>
      </c>
      <c r="J92" s="5">
        <v>637.0</v>
      </c>
      <c r="K92" s="5">
        <v>685.0</v>
      </c>
      <c r="L92" s="5">
        <v>630.2</v>
      </c>
      <c r="M92" s="5">
        <v>671.3</v>
      </c>
      <c r="N92" s="5">
        <v>753.5</v>
      </c>
      <c r="O92" s="5">
        <v>698.7</v>
      </c>
      <c r="P92" s="5">
        <v>726.1</v>
      </c>
      <c r="Q92" s="5">
        <v>712.4</v>
      </c>
      <c r="R92" s="5">
        <v>575.4</v>
      </c>
      <c r="S92" s="5">
        <v>760.4</v>
      </c>
      <c r="T92" s="5">
        <v>712.4</v>
      </c>
      <c r="U92" s="5">
        <f>ROUND(AVERAGE(F92:T92),1)</f>
        <v>676.8</v>
      </c>
      <c r="V92" s="5">
        <f>MIN(F92:T92)</f>
        <v>568.5</v>
      </c>
      <c r="W92" s="5">
        <f>MAX(F92:T92)</f>
        <v>760.4</v>
      </c>
      <c r="X92" s="12">
        <f>ROUND(STDEV(F92:T92),1)</f>
        <v>65.8</v>
      </c>
      <c r="Y92" s="12">
        <f>ROUND(X92/U92*100,1)</f>
        <v>9.7</v>
      </c>
      <c r="Z92" s="12">
        <f>ROUND((U92-E92)/E92*100,1)</f>
        <v>-1.2</v>
      </c>
      <c r="AA92" s="4">
        <v>0.0</v>
      </c>
      <c r="AB92" s="4">
        <v>0.0</v>
      </c>
      <c r="AC92" s="3" t="s">
        <v>171</v>
      </c>
    </row>
    <row r="93" spans="8:8" ht="18.75" customHeight="1">
      <c r="A93" s="7" t="s">
        <v>763</v>
      </c>
      <c r="B93" s="8" t="s">
        <v>734</v>
      </c>
      <c r="C93" s="8" t="s">
        <v>764</v>
      </c>
      <c r="D93" s="8" t="s">
        <v>765</v>
      </c>
      <c r="E93" s="9">
        <v>890.0</v>
      </c>
      <c r="F93" s="10">
        <v>881.1</v>
      </c>
      <c r="G93" s="10">
        <v>898.9</v>
      </c>
      <c r="H93" s="10">
        <v>961.2</v>
      </c>
      <c r="I93" s="10">
        <v>720.9</v>
      </c>
      <c r="J93" s="10">
        <v>809.9</v>
      </c>
      <c r="K93" s="10">
        <v>872.2</v>
      </c>
      <c r="L93" s="10">
        <v>801.0</v>
      </c>
      <c r="M93" s="10">
        <v>854.4</v>
      </c>
      <c r="N93" s="10">
        <v>961.2</v>
      </c>
      <c r="O93" s="10">
        <v>890.0</v>
      </c>
      <c r="P93" s="10">
        <v>925.6</v>
      </c>
      <c r="Q93" s="10">
        <v>907.8</v>
      </c>
      <c r="R93" s="10">
        <v>898.9</v>
      </c>
      <c r="S93" s="10">
        <v>970.1</v>
      </c>
      <c r="T93" s="10">
        <v>907.8</v>
      </c>
      <c r="U93" s="10">
        <f>ROUND(AVERAGE(F93:T93),1)</f>
        <v>884.1</v>
      </c>
      <c r="V93" s="10">
        <f>MIN(F93:T93)</f>
        <v>720.9</v>
      </c>
      <c r="W93" s="10">
        <f>MAX(F93:T93)</f>
        <v>970.1</v>
      </c>
      <c r="X93" s="13">
        <f>ROUND(STDEV(F93:T93),1)</f>
        <v>66.9</v>
      </c>
      <c r="Y93" s="13">
        <f>ROUND(X93/U93*100,1)</f>
        <v>7.6</v>
      </c>
      <c r="Z93" s="13">
        <f>ROUND((U93-E93)/E93*100,1)</f>
        <v>-0.7</v>
      </c>
      <c r="AA93" s="9">
        <v>0.0</v>
      </c>
      <c r="AB93" s="9">
        <v>0.0</v>
      </c>
      <c r="AC93" s="8" t="s">
        <v>171</v>
      </c>
    </row>
    <row r="94" spans="8:8" ht="18.75" customHeight="1">
      <c r="A94" s="2" t="s">
        <v>770</v>
      </c>
      <c r="B94" s="3" t="s">
        <v>734</v>
      </c>
      <c r="C94" s="3" t="s">
        <v>771</v>
      </c>
      <c r="D94" s="3" t="s">
        <v>737</v>
      </c>
      <c r="E94" s="4">
        <v>850.0</v>
      </c>
      <c r="F94" s="5">
        <v>824.5</v>
      </c>
      <c r="G94" s="5">
        <v>841.5</v>
      </c>
      <c r="H94" s="5">
        <v>901.0</v>
      </c>
      <c r="I94" s="5">
        <v>671.5</v>
      </c>
      <c r="J94" s="5">
        <v>756.5</v>
      </c>
      <c r="K94" s="5">
        <v>816.0</v>
      </c>
      <c r="L94" s="5">
        <v>748.0</v>
      </c>
      <c r="M94" s="5">
        <v>799.0</v>
      </c>
      <c r="N94" s="5">
        <v>901.0</v>
      </c>
      <c r="O94" s="5">
        <v>994.5</v>
      </c>
      <c r="P94" s="5">
        <v>867.0</v>
      </c>
      <c r="Q94" s="5">
        <v>850.0</v>
      </c>
      <c r="R94" s="5">
        <v>841.5</v>
      </c>
      <c r="S94" s="5">
        <v>909.5</v>
      </c>
      <c r="T94" s="5">
        <v>850.0</v>
      </c>
      <c r="U94" s="5">
        <f>ROUND(AVERAGE(F94:T94),1)</f>
        <v>838.1</v>
      </c>
      <c r="V94" s="5">
        <f>MIN(F94:T94)</f>
        <v>671.5</v>
      </c>
      <c r="W94" s="5">
        <f>MAX(F94:T94)</f>
        <v>994.5</v>
      </c>
      <c r="X94" s="12">
        <f>ROUND(STDEV(F94:T94),1)</f>
        <v>77.2</v>
      </c>
      <c r="Y94" s="12">
        <f>ROUND(X94/U94*100,1)</f>
        <v>9.2</v>
      </c>
      <c r="Z94" s="12">
        <f>ROUND((U94-E94)/E94*100,1)</f>
        <v>-1.4</v>
      </c>
      <c r="AA94" s="4">
        <v>1.0</v>
      </c>
      <c r="AB94" s="4">
        <v>1.0</v>
      </c>
      <c r="AC94" s="3" t="s">
        <v>171</v>
      </c>
    </row>
    <row r="95" spans="8:8" ht="18.75" customHeight="1">
      <c r="A95" s="7" t="s">
        <v>776</v>
      </c>
      <c r="B95" s="8" t="s">
        <v>734</v>
      </c>
      <c r="C95" s="8" t="s">
        <v>777</v>
      </c>
      <c r="D95" s="8" t="s">
        <v>765</v>
      </c>
      <c r="E95" s="9">
        <v>1210.0</v>
      </c>
      <c r="F95" s="10">
        <v>1149.5</v>
      </c>
      <c r="G95" s="10">
        <v>1173.7</v>
      </c>
      <c r="H95" s="10">
        <v>1258.4</v>
      </c>
      <c r="I95" s="10">
        <v>931.7</v>
      </c>
      <c r="J95" s="10">
        <v>1052.7</v>
      </c>
      <c r="K95" s="10">
        <v>1137.4</v>
      </c>
      <c r="L95" s="10">
        <v>1270.5</v>
      </c>
      <c r="M95" s="10">
        <v>1113.2</v>
      </c>
      <c r="N95" s="10">
        <v>1258.4</v>
      </c>
      <c r="O95" s="10">
        <v>1391.5</v>
      </c>
      <c r="P95" s="10">
        <v>1210.0</v>
      </c>
      <c r="Q95" s="10">
        <v>1185.8</v>
      </c>
      <c r="R95" s="10">
        <v>1173.7</v>
      </c>
      <c r="S95" s="10">
        <v>1270.5</v>
      </c>
      <c r="T95" s="10">
        <v>1415.7</v>
      </c>
      <c r="U95" s="10">
        <f>ROUND(AVERAGE(F95:T95),1)</f>
        <v>1199.5</v>
      </c>
      <c r="V95" s="10">
        <f>MIN(F95:T95)</f>
        <v>931.7</v>
      </c>
      <c r="W95" s="10">
        <f>MAX(F95:T95)</f>
        <v>1415.7</v>
      </c>
      <c r="X95" s="13">
        <f>ROUND(STDEV(F95:T95),1)</f>
        <v>122.3</v>
      </c>
      <c r="Y95" s="13">
        <f>ROUND(X95/U95*100,1)</f>
        <v>10.2</v>
      </c>
      <c r="Z95" s="13">
        <f>ROUND((U95-E95)/E95*100,1)</f>
        <v>-0.9</v>
      </c>
      <c r="AA95" s="9">
        <v>1.0</v>
      </c>
      <c r="AB95" s="9">
        <v>1.0</v>
      </c>
      <c r="AC95" s="8" t="s">
        <v>397</v>
      </c>
    </row>
    <row r="96" spans="8:8" ht="18.75" customHeight="1">
      <c r="A96" s="2" t="s">
        <v>785</v>
      </c>
      <c r="B96" s="3" t="s">
        <v>734</v>
      </c>
      <c r="C96" s="3" t="s">
        <v>786</v>
      </c>
      <c r="D96" s="3" t="s">
        <v>765</v>
      </c>
      <c r="E96" s="4">
        <v>1015.0</v>
      </c>
      <c r="F96" s="5">
        <v>944.0</v>
      </c>
      <c r="G96" s="5">
        <v>964.3</v>
      </c>
      <c r="H96" s="5">
        <v>1035.3</v>
      </c>
      <c r="I96" s="5">
        <v>954.1</v>
      </c>
      <c r="J96" s="5">
        <v>862.8</v>
      </c>
      <c r="K96" s="5">
        <v>933.8</v>
      </c>
      <c r="L96" s="5">
        <v>1045.5</v>
      </c>
      <c r="M96" s="5">
        <v>913.5</v>
      </c>
      <c r="N96" s="5">
        <v>1035.3</v>
      </c>
      <c r="O96" s="5">
        <v>1147.0</v>
      </c>
      <c r="P96" s="5">
        <v>994.7</v>
      </c>
      <c r="Q96" s="5">
        <v>1167.3</v>
      </c>
      <c r="R96" s="5">
        <v>964.3</v>
      </c>
      <c r="S96" s="5">
        <v>1045.5</v>
      </c>
      <c r="T96" s="5">
        <v>1167.3</v>
      </c>
      <c r="U96" s="5">
        <f>ROUND(AVERAGE(F96:T96),1)</f>
        <v>1011.6</v>
      </c>
      <c r="V96" s="5">
        <f>MIN(F96:T96)</f>
        <v>862.8</v>
      </c>
      <c r="W96" s="5">
        <f>MAX(F96:T96)</f>
        <v>1167.3</v>
      </c>
      <c r="X96" s="12">
        <f>ROUND(STDEV(F96:T96),1)</f>
        <v>92.8</v>
      </c>
      <c r="Y96" s="12">
        <f>ROUND(X96/U96*100,1)</f>
        <v>9.2</v>
      </c>
      <c r="Z96" s="12">
        <f>ROUND((U96-E96)/E96*100,1)</f>
        <v>-0.3</v>
      </c>
      <c r="AA96" s="4">
        <v>0.0</v>
      </c>
      <c r="AB96" s="4">
        <v>2.0</v>
      </c>
      <c r="AC96" s="3" t="s">
        <v>171</v>
      </c>
    </row>
    <row r="97" spans="8:8" ht="18.75" customHeight="1">
      <c r="A97" s="7" t="s">
        <v>790</v>
      </c>
      <c r="B97" s="8" t="s">
        <v>734</v>
      </c>
      <c r="C97" s="8" t="s">
        <v>791</v>
      </c>
      <c r="D97" s="8" t="s">
        <v>765</v>
      </c>
      <c r="E97" s="9">
        <v>1085.0</v>
      </c>
      <c r="F97" s="10">
        <v>1193.5</v>
      </c>
      <c r="G97" s="10">
        <v>1009.1</v>
      </c>
      <c r="H97" s="10">
        <v>1085.0</v>
      </c>
      <c r="I97" s="10">
        <v>998.2</v>
      </c>
      <c r="J97" s="10">
        <v>900.5</v>
      </c>
      <c r="K97" s="10">
        <v>976.5</v>
      </c>
      <c r="L97" s="10">
        <v>1095.8</v>
      </c>
      <c r="M97" s="10">
        <v>954.8</v>
      </c>
      <c r="N97" s="10">
        <v>1291.2</v>
      </c>
      <c r="O97" s="10">
        <v>1204.4</v>
      </c>
      <c r="P97" s="10">
        <v>1041.6</v>
      </c>
      <c r="Q97" s="10">
        <v>1226.1</v>
      </c>
      <c r="R97" s="10">
        <v>1009.1</v>
      </c>
      <c r="S97" s="10">
        <v>1095.8</v>
      </c>
      <c r="T97" s="10">
        <v>1226.1</v>
      </c>
      <c r="U97" s="10">
        <f>ROUND(AVERAGE(F97:T97),1)</f>
        <v>1087.2</v>
      </c>
      <c r="V97" s="10">
        <f>MIN(F97:T97)</f>
        <v>900.5</v>
      </c>
      <c r="W97" s="10">
        <f>MAX(F97:T97)</f>
        <v>1291.2</v>
      </c>
      <c r="X97" s="13">
        <f>ROUND(STDEV(F97:T97),1)</f>
        <v>117.2</v>
      </c>
      <c r="Y97" s="13">
        <f>ROUND(X97/U97*100,1)</f>
        <v>10.8</v>
      </c>
      <c r="Z97" s="13">
        <f>ROUND((U97-E97)/E97*100,1)</f>
        <v>0.2</v>
      </c>
      <c r="AA97" s="9">
        <v>0.0</v>
      </c>
      <c r="AB97" s="9">
        <v>1.0</v>
      </c>
      <c r="AC97" s="8" t="s">
        <v>171</v>
      </c>
    </row>
    <row r="98" spans="8:8" ht="18.75" customHeight="1">
      <c r="A98" s="2" t="s">
        <v>795</v>
      </c>
      <c r="B98" s="3" t="s">
        <v>796</v>
      </c>
      <c r="C98" s="3" t="s">
        <v>797</v>
      </c>
      <c r="D98" s="3" t="s">
        <v>796</v>
      </c>
      <c r="E98" s="4">
        <v>1235.0</v>
      </c>
      <c r="F98" s="5">
        <v>1333.8</v>
      </c>
      <c r="G98" s="5">
        <v>1123.9</v>
      </c>
      <c r="H98" s="5">
        <v>1210.3</v>
      </c>
      <c r="I98" s="5">
        <v>1111.5</v>
      </c>
      <c r="J98" s="5">
        <v>1000.3</v>
      </c>
      <c r="K98" s="5">
        <v>1321.5</v>
      </c>
      <c r="L98" s="5">
        <v>1222.7</v>
      </c>
      <c r="M98" s="5">
        <v>1062.1</v>
      </c>
      <c r="N98" s="5">
        <v>1445.0</v>
      </c>
      <c r="O98" s="5">
        <v>1346.2</v>
      </c>
      <c r="P98" s="5">
        <v>1160.9</v>
      </c>
      <c r="Q98" s="5">
        <v>1370.9</v>
      </c>
      <c r="R98" s="5">
        <v>1123.9</v>
      </c>
      <c r="S98" s="5">
        <v>1222.7</v>
      </c>
      <c r="T98" s="5">
        <v>1370.9</v>
      </c>
      <c r="U98" s="5">
        <f>ROUND(AVERAGE(F98:T98),1)</f>
        <v>1228.4</v>
      </c>
      <c r="V98" s="5">
        <f>MIN(F98:T98)</f>
        <v>1000.3</v>
      </c>
      <c r="W98" s="5">
        <f>MAX(F98:T98)</f>
        <v>1445.0</v>
      </c>
      <c r="X98" s="12">
        <f>ROUND(STDEV(F98:T98),1)</f>
        <v>131.3</v>
      </c>
      <c r="Y98" s="12">
        <f>ROUND(X98/U98*100,1)</f>
        <v>10.7</v>
      </c>
      <c r="Z98" s="12">
        <f>ROUND((U98-E98)/E98*100,1)</f>
        <v>-0.5</v>
      </c>
      <c r="AA98" s="4">
        <v>0.0</v>
      </c>
      <c r="AB98" s="4">
        <v>1.0</v>
      </c>
      <c r="AC98" s="3" t="s">
        <v>171</v>
      </c>
    </row>
    <row r="99" spans="8:8" ht="18.75" customHeight="1">
      <c r="A99" s="7" t="s">
        <v>801</v>
      </c>
      <c r="B99" s="8" t="s">
        <v>796</v>
      </c>
      <c r="C99" s="8" t="s">
        <v>802</v>
      </c>
      <c r="D99" s="8" t="s">
        <v>796</v>
      </c>
      <c r="E99" s="9">
        <v>1445.0</v>
      </c>
      <c r="F99" s="10">
        <v>1531.7</v>
      </c>
      <c r="G99" s="10">
        <v>1286.0</v>
      </c>
      <c r="H99" s="10">
        <v>1661.8</v>
      </c>
      <c r="I99" s="10">
        <v>1271.6</v>
      </c>
      <c r="J99" s="10">
        <v>1141.5</v>
      </c>
      <c r="K99" s="10">
        <v>1517.2</v>
      </c>
      <c r="L99" s="10">
        <v>1401.6</v>
      </c>
      <c r="M99" s="10">
        <v>1213.8</v>
      </c>
      <c r="N99" s="10">
        <v>1661.8</v>
      </c>
      <c r="O99" s="10">
        <v>1546.2</v>
      </c>
      <c r="P99" s="10">
        <v>1329.4</v>
      </c>
      <c r="Q99" s="10">
        <v>1575.1</v>
      </c>
      <c r="R99" s="10">
        <v>1286.0</v>
      </c>
      <c r="S99" s="10">
        <v>1676.2</v>
      </c>
      <c r="T99" s="10">
        <v>1575.1</v>
      </c>
      <c r="U99" s="10">
        <f>ROUND(AVERAGE(F99:T99),1)</f>
        <v>1445.0</v>
      </c>
      <c r="V99" s="10">
        <f>MIN(F99:T99)</f>
        <v>1141.5</v>
      </c>
      <c r="W99" s="10">
        <f>MAX(F99:T99)</f>
        <v>1676.2</v>
      </c>
      <c r="X99" s="13">
        <f>ROUND(STDEV(F99:T99),1)</f>
        <v>178.4</v>
      </c>
      <c r="Y99" s="13">
        <f>ROUND(X99/U99*100,1)</f>
        <v>12.3</v>
      </c>
      <c r="Z99" s="13">
        <f>ROUND((U99-E99)/E99*100,1)</f>
        <v>0.0</v>
      </c>
      <c r="AA99" s="9">
        <v>1.0</v>
      </c>
      <c r="AB99" s="9">
        <v>3.0</v>
      </c>
      <c r="AC99" s="8" t="s">
        <v>806</v>
      </c>
    </row>
    <row r="100" spans="8:8" ht="18.75" customHeight="1">
      <c r="A100" s="2" t="s">
        <v>809</v>
      </c>
      <c r="B100" s="3" t="s">
        <v>796</v>
      </c>
      <c r="C100" s="3" t="s">
        <v>810</v>
      </c>
      <c r="D100" s="3" t="s">
        <v>796</v>
      </c>
      <c r="E100" s="4">
        <v>1115.0</v>
      </c>
      <c r="F100" s="5">
        <v>1159.6</v>
      </c>
      <c r="G100" s="5">
        <v>970.0</v>
      </c>
      <c r="H100" s="5">
        <v>1260.0</v>
      </c>
      <c r="I100" s="5">
        <v>958.9</v>
      </c>
      <c r="J100" s="5">
        <v>858.6</v>
      </c>
      <c r="K100" s="5">
        <v>1148.5</v>
      </c>
      <c r="L100" s="5">
        <v>1059.2</v>
      </c>
      <c r="M100" s="5">
        <v>914.3</v>
      </c>
      <c r="N100" s="5">
        <v>1260.0</v>
      </c>
      <c r="O100" s="5">
        <v>1170.8</v>
      </c>
      <c r="P100" s="5">
        <v>1215.4</v>
      </c>
      <c r="Q100" s="5">
        <v>1193.1</v>
      </c>
      <c r="R100" s="5">
        <v>970.1</v>
      </c>
      <c r="S100" s="5">
        <v>1271.1</v>
      </c>
      <c r="T100" s="5">
        <v>1193.1</v>
      </c>
      <c r="U100" s="5">
        <f>ROUND(AVERAGE(F100:T100),1)</f>
        <v>1106.8</v>
      </c>
      <c r="V100" s="5">
        <f>MIN(F100:T100)</f>
        <v>858.6</v>
      </c>
      <c r="W100" s="5">
        <f>MAX(F100:T100)</f>
        <v>1271.1</v>
      </c>
      <c r="X100" s="12">
        <f>ROUND(STDEV(F100:T100),1)</f>
        <v>138.7</v>
      </c>
      <c r="Y100" s="12">
        <f>ROUND(X100/U100*100,1)</f>
        <v>12.5</v>
      </c>
      <c r="Z100" s="12">
        <f>ROUND((U100-E100)/E100*100,1)</f>
        <v>-0.7</v>
      </c>
      <c r="AA100" s="4">
        <v>1.0</v>
      </c>
      <c r="AB100" s="4">
        <v>0.0</v>
      </c>
      <c r="AC100" s="3" t="s">
        <v>171</v>
      </c>
    </row>
    <row r="101" spans="8:8" ht="18.75" customHeight="1">
      <c r="A101" s="7" t="s">
        <v>815</v>
      </c>
      <c r="B101" s="8" t="s">
        <v>796</v>
      </c>
      <c r="C101" s="8" t="s">
        <v>816</v>
      </c>
      <c r="D101" s="8" t="s">
        <v>796</v>
      </c>
      <c r="E101" s="9">
        <v>995.0</v>
      </c>
      <c r="F101" s="10">
        <v>1014.9</v>
      </c>
      <c r="G101" s="10">
        <v>845.8</v>
      </c>
      <c r="H101" s="10">
        <v>1104.5</v>
      </c>
      <c r="I101" s="10">
        <v>835.8</v>
      </c>
      <c r="J101" s="10">
        <v>746.2</v>
      </c>
      <c r="K101" s="10">
        <v>1005.0</v>
      </c>
      <c r="L101" s="10">
        <v>925.3</v>
      </c>
      <c r="M101" s="10">
        <v>985.0</v>
      </c>
      <c r="N101" s="10">
        <v>1104.5</v>
      </c>
      <c r="O101" s="10">
        <v>1024.9</v>
      </c>
      <c r="P101" s="10">
        <v>1064.7</v>
      </c>
      <c r="Q101" s="10">
        <v>1044.8</v>
      </c>
      <c r="R101" s="10">
        <v>845.8</v>
      </c>
      <c r="S101" s="10">
        <v>1114.4</v>
      </c>
      <c r="T101" s="10">
        <v>1044.8</v>
      </c>
      <c r="U101" s="10">
        <f>ROUND(AVERAGE(F101:T101),1)</f>
        <v>980.4</v>
      </c>
      <c r="V101" s="10">
        <f>MIN(F101:T101)</f>
        <v>746.2</v>
      </c>
      <c r="W101" s="10">
        <f>MAX(F101:T101)</f>
        <v>1114.4</v>
      </c>
      <c r="X101" s="13">
        <f>ROUND(STDEV(F101:T101),1)</f>
        <v>114.3</v>
      </c>
      <c r="Y101" s="13">
        <f>ROUND(X101/U101*100,1)</f>
        <v>11.7</v>
      </c>
      <c r="Z101" s="13">
        <f>ROUND((U101-E101)/E101*100,1)</f>
        <v>-1.5</v>
      </c>
      <c r="AA101" s="9">
        <v>1.0</v>
      </c>
      <c r="AB101" s="9">
        <v>0.0</v>
      </c>
      <c r="AC101" s="8" t="s">
        <v>171</v>
      </c>
    </row>
    <row r="102" spans="8:8" ht="18.75" customHeight="1">
      <c r="A102" s="2" t="s">
        <v>820</v>
      </c>
      <c r="B102" s="3" t="s">
        <v>821</v>
      </c>
      <c r="C102" s="3" t="s">
        <v>822</v>
      </c>
      <c r="D102" s="3" t="s">
        <v>821</v>
      </c>
      <c r="E102" s="4">
        <v>1310.0</v>
      </c>
      <c r="F102" s="5">
        <v>1310.0</v>
      </c>
      <c r="G102" s="5">
        <v>1087.3</v>
      </c>
      <c r="H102" s="5">
        <v>1427.9</v>
      </c>
      <c r="I102" s="5">
        <v>1074.2</v>
      </c>
      <c r="J102" s="5">
        <v>1205.2</v>
      </c>
      <c r="K102" s="5">
        <v>1296.9</v>
      </c>
      <c r="L102" s="5">
        <v>1192.1</v>
      </c>
      <c r="M102" s="5">
        <v>1270.7</v>
      </c>
      <c r="N102" s="5">
        <v>1427.9</v>
      </c>
      <c r="O102" s="5">
        <v>1323.1</v>
      </c>
      <c r="P102" s="5">
        <v>1375.5</v>
      </c>
      <c r="Q102" s="5">
        <v>1349.3</v>
      </c>
      <c r="R102" s="5">
        <v>1336.2</v>
      </c>
      <c r="S102" s="5">
        <v>1441.0</v>
      </c>
      <c r="T102" s="5">
        <v>1349.3</v>
      </c>
      <c r="U102" s="5">
        <f>ROUND(AVERAGE(F102:T102),1)</f>
        <v>1297.8</v>
      </c>
      <c r="V102" s="5">
        <f>MIN(F102:T102)</f>
        <v>1074.2</v>
      </c>
      <c r="W102" s="5">
        <f>MAX(F102:T102)</f>
        <v>1441.0</v>
      </c>
      <c r="X102" s="12">
        <f>ROUND(STDEV(F102:T102),1)</f>
        <v>114.3</v>
      </c>
      <c r="Y102" s="12">
        <f>ROUND(X102/U102*100,1)</f>
        <v>8.8</v>
      </c>
      <c r="Z102" s="12">
        <f>ROUND((U102-E102)/E102*100,1)</f>
        <v>-0.9</v>
      </c>
      <c r="AA102" s="4">
        <v>0.0</v>
      </c>
      <c r="AB102" s="4">
        <v>0.0</v>
      </c>
      <c r="AC102" s="3" t="s">
        <v>171</v>
      </c>
    </row>
    <row r="103" spans="8:8" ht="18.75" customHeight="1">
      <c r="A103" s="7" t="s">
        <v>826</v>
      </c>
      <c r="B103" s="8" t="s">
        <v>821</v>
      </c>
      <c r="C103" s="8" t="s">
        <v>827</v>
      </c>
      <c r="D103" s="8" t="s">
        <v>821</v>
      </c>
      <c r="E103" s="9">
        <v>1165.0</v>
      </c>
      <c r="F103" s="10">
        <v>1141.7</v>
      </c>
      <c r="G103" s="10">
        <v>1165.0</v>
      </c>
      <c r="H103" s="10">
        <v>1246.6</v>
      </c>
      <c r="I103" s="10">
        <v>932.0</v>
      </c>
      <c r="J103" s="10">
        <v>1048.5</v>
      </c>
      <c r="K103" s="10">
        <v>1130.0</v>
      </c>
      <c r="L103" s="10">
        <v>1036.8</v>
      </c>
      <c r="M103" s="10">
        <v>1106.8</v>
      </c>
      <c r="N103" s="10">
        <v>1246.6</v>
      </c>
      <c r="O103" s="10">
        <v>1374.7</v>
      </c>
      <c r="P103" s="10">
        <v>1200.0</v>
      </c>
      <c r="Q103" s="10">
        <v>1176.7</v>
      </c>
      <c r="R103" s="10">
        <v>1165.0</v>
      </c>
      <c r="S103" s="10">
        <v>1258.2</v>
      </c>
      <c r="T103" s="10">
        <v>1176.7</v>
      </c>
      <c r="U103" s="10">
        <f>ROUND(AVERAGE(F103:T103),1)</f>
        <v>1160.4</v>
      </c>
      <c r="V103" s="10">
        <f>MIN(F103:T103)</f>
        <v>932.0</v>
      </c>
      <c r="W103" s="10">
        <f>MAX(F103:T103)</f>
        <v>1374.7</v>
      </c>
      <c r="X103" s="13">
        <f>ROUND(STDEV(F103:T103),1)</f>
        <v>105.8</v>
      </c>
      <c r="Y103" s="13">
        <f>ROUND(X103/U103*100,1)</f>
        <v>9.1</v>
      </c>
      <c r="Z103" s="13">
        <f>ROUND((U103-E103)/E103*100,1)</f>
        <v>-0.4</v>
      </c>
      <c r="AA103" s="9">
        <v>0.0</v>
      </c>
      <c r="AB103" s="9">
        <v>1.0</v>
      </c>
      <c r="AC103" s="8" t="s">
        <v>171</v>
      </c>
    </row>
    <row r="104" spans="8:8" ht="18.75" customHeight="1">
      <c r="A104" s="2" t="s">
        <v>831</v>
      </c>
      <c r="B104" s="3" t="s">
        <v>821</v>
      </c>
      <c r="C104" s="3" t="s">
        <v>832</v>
      </c>
      <c r="D104" s="3" t="s">
        <v>821</v>
      </c>
      <c r="E104" s="4">
        <v>1365.0</v>
      </c>
      <c r="F104" s="5">
        <v>1310.4</v>
      </c>
      <c r="G104" s="5">
        <v>1337.7</v>
      </c>
      <c r="H104" s="5">
        <v>1433.2</v>
      </c>
      <c r="I104" s="5">
        <v>1064.7</v>
      </c>
      <c r="J104" s="5">
        <v>1201.2</v>
      </c>
      <c r="K104" s="5">
        <v>1296.8</v>
      </c>
      <c r="L104" s="5">
        <v>1446.9</v>
      </c>
      <c r="M104" s="5">
        <v>1269.5</v>
      </c>
      <c r="N104" s="5">
        <v>1433.2</v>
      </c>
      <c r="O104" s="5">
        <v>1583.4</v>
      </c>
      <c r="P104" s="5">
        <v>1378.7</v>
      </c>
      <c r="Q104" s="5">
        <v>1351.3</v>
      </c>
      <c r="R104" s="5">
        <v>1337.7</v>
      </c>
      <c r="S104" s="5">
        <v>1446.9</v>
      </c>
      <c r="T104" s="5">
        <v>1351.4</v>
      </c>
      <c r="U104" s="5">
        <f>ROUND(AVERAGE(F104:T104),1)</f>
        <v>1349.5</v>
      </c>
      <c r="V104" s="5">
        <f>MIN(F104:T104)</f>
        <v>1064.7</v>
      </c>
      <c r="W104" s="5">
        <f>MAX(F104:T104)</f>
        <v>1583.4</v>
      </c>
      <c r="X104" s="12">
        <f>ROUND(STDEV(F104:T104),1)</f>
        <v>120.3</v>
      </c>
      <c r="Y104" s="12">
        <f>ROUND(X104/U104*100,1)</f>
        <v>8.9</v>
      </c>
      <c r="Z104" s="12">
        <f>ROUND((U104-E104)/E104*100,1)</f>
        <v>-1.1</v>
      </c>
      <c r="AA104" s="4">
        <v>1.0</v>
      </c>
      <c r="AB104" s="4">
        <v>1.0</v>
      </c>
      <c r="AC104" s="3" t="s">
        <v>132</v>
      </c>
    </row>
    <row r="105" spans="8:8" ht="18.75" customHeight="1">
      <c r="A105" s="7" t="s">
        <v>836</v>
      </c>
      <c r="B105" s="8" t="s">
        <v>837</v>
      </c>
      <c r="C105" s="8" t="s">
        <v>838</v>
      </c>
      <c r="D105" s="8" t="s">
        <v>840</v>
      </c>
      <c r="E105" s="9">
        <v>2950.0</v>
      </c>
      <c r="F105" s="10">
        <v>2773.0</v>
      </c>
      <c r="G105" s="10">
        <v>2832.0</v>
      </c>
      <c r="H105" s="10">
        <v>3038.5</v>
      </c>
      <c r="I105" s="10">
        <v>2802.5</v>
      </c>
      <c r="J105" s="10">
        <v>2537.0</v>
      </c>
      <c r="K105" s="10">
        <v>2743.5</v>
      </c>
      <c r="L105" s="10">
        <v>3068.0</v>
      </c>
      <c r="M105" s="10">
        <v>2684.5</v>
      </c>
      <c r="N105" s="10">
        <v>3038.5</v>
      </c>
      <c r="O105" s="10">
        <v>3363.0</v>
      </c>
      <c r="P105" s="10">
        <v>2920.5</v>
      </c>
      <c r="Q105" s="10">
        <v>2861.5</v>
      </c>
      <c r="R105" s="10">
        <v>2832.0</v>
      </c>
      <c r="S105" s="10">
        <v>3068.0</v>
      </c>
      <c r="T105" s="10">
        <v>3422.0</v>
      </c>
      <c r="U105" s="10">
        <f>ROUND(AVERAGE(F105:T105),1)</f>
        <v>2932.3</v>
      </c>
      <c r="V105" s="10">
        <f>MIN(F105:T105)</f>
        <v>2537.0</v>
      </c>
      <c r="W105" s="10">
        <f>MAX(F105:T105)</f>
        <v>3422.0</v>
      </c>
      <c r="X105" s="13">
        <f>ROUND(STDEV(F105:T105),1)</f>
        <v>239.9</v>
      </c>
      <c r="Y105" s="13">
        <f>ROUND(X105/U105*100,1)</f>
        <v>8.2</v>
      </c>
      <c r="Z105" s="13">
        <f>ROUND((U105-E105)/E105*100,1)</f>
        <v>-0.6</v>
      </c>
      <c r="AA105" s="9">
        <v>0.0</v>
      </c>
      <c r="AB105" s="9">
        <v>1.0</v>
      </c>
      <c r="AC105" s="8" t="s">
        <v>843</v>
      </c>
    </row>
    <row r="106" spans="8:8" ht="18.75" customHeight="1">
      <c r="A106" s="2" t="s">
        <v>850</v>
      </c>
      <c r="B106" s="3" t="s">
        <v>837</v>
      </c>
      <c r="C106" s="3" t="s">
        <v>851</v>
      </c>
      <c r="D106" s="3" t="s">
        <v>840</v>
      </c>
      <c r="E106" s="4">
        <v>3120.0</v>
      </c>
      <c r="F106" s="5">
        <v>3463.2</v>
      </c>
      <c r="G106" s="5">
        <v>2932.8</v>
      </c>
      <c r="H106" s="5">
        <v>3151.2</v>
      </c>
      <c r="I106" s="5">
        <v>2901.6</v>
      </c>
      <c r="J106" s="5">
        <v>2620.8</v>
      </c>
      <c r="K106" s="5">
        <v>2839.2</v>
      </c>
      <c r="L106" s="5">
        <v>3182.4</v>
      </c>
      <c r="M106" s="5">
        <v>2776.8</v>
      </c>
      <c r="N106" s="5">
        <v>3151.2</v>
      </c>
      <c r="O106" s="5">
        <v>3494.4</v>
      </c>
      <c r="P106" s="5">
        <v>3026.4</v>
      </c>
      <c r="Q106" s="5">
        <v>3556.8</v>
      </c>
      <c r="R106" s="5">
        <v>2932.8</v>
      </c>
      <c r="S106" s="5">
        <v>3182.4</v>
      </c>
      <c r="T106" s="5">
        <v>3556.8</v>
      </c>
      <c r="U106" s="5">
        <f>ROUND(AVERAGE(F106:T106),1)</f>
        <v>3117.9</v>
      </c>
      <c r="V106" s="5">
        <f>MIN(F106:T106)</f>
        <v>2620.8</v>
      </c>
      <c r="W106" s="5">
        <f>MAX(F106:T106)</f>
        <v>3556.8</v>
      </c>
      <c r="X106" s="12">
        <f>ROUND(STDEV(F106:T106),1)</f>
        <v>295.4</v>
      </c>
      <c r="Y106" s="12">
        <f>ROUND(X106/U106*100,1)</f>
        <v>9.5</v>
      </c>
      <c r="Z106" s="12">
        <f>ROUND((U106-E106)/E106*100,1)</f>
        <v>-0.1</v>
      </c>
      <c r="AA106" s="4">
        <v>0.0</v>
      </c>
      <c r="AB106" s="4">
        <v>0.0</v>
      </c>
      <c r="AC106" s="3" t="s">
        <v>855</v>
      </c>
    </row>
    <row r="107" spans="8:8" ht="18.75" customHeight="1">
      <c r="A107" s="7" t="s">
        <v>857</v>
      </c>
      <c r="B107" s="8" t="s">
        <v>837</v>
      </c>
      <c r="C107" s="8" t="s">
        <v>858</v>
      </c>
      <c r="D107" s="8" t="s">
        <v>859</v>
      </c>
      <c r="E107" s="9">
        <v>1480.0</v>
      </c>
      <c r="F107" s="10">
        <v>1613.2</v>
      </c>
      <c r="G107" s="10">
        <v>1361.6</v>
      </c>
      <c r="H107" s="10">
        <v>1465.2</v>
      </c>
      <c r="I107" s="10">
        <v>1346.8</v>
      </c>
      <c r="J107" s="10">
        <v>1213.6</v>
      </c>
      <c r="K107" s="10">
        <v>1317.2</v>
      </c>
      <c r="L107" s="10">
        <v>1480.0</v>
      </c>
      <c r="M107" s="10">
        <v>1287.6</v>
      </c>
      <c r="N107" s="10">
        <v>1746.4</v>
      </c>
      <c r="O107" s="10">
        <v>1628.0</v>
      </c>
      <c r="P107" s="10">
        <v>1406.0</v>
      </c>
      <c r="Q107" s="10">
        <v>1657.6</v>
      </c>
      <c r="R107" s="10">
        <v>1361.6</v>
      </c>
      <c r="S107" s="10">
        <v>1480.0</v>
      </c>
      <c r="T107" s="10">
        <v>1657.6</v>
      </c>
      <c r="U107" s="10">
        <f>ROUND(AVERAGE(F107:T107),1)</f>
        <v>1468.2</v>
      </c>
      <c r="V107" s="10">
        <f>MIN(F107:T107)</f>
        <v>1213.6</v>
      </c>
      <c r="W107" s="10">
        <f>MAX(F107:T107)</f>
        <v>1746.4</v>
      </c>
      <c r="X107" s="13">
        <f>ROUND(STDEV(F107:T107),1)</f>
        <v>159.8</v>
      </c>
      <c r="Y107" s="13">
        <f>ROUND(X107/U107*100,1)</f>
        <v>10.9</v>
      </c>
      <c r="Z107" s="13">
        <f>ROUND((U107-E107)/E107*100,1)</f>
        <v>-0.8</v>
      </c>
      <c r="AA107" s="9">
        <v>0.0</v>
      </c>
      <c r="AB107" s="9">
        <v>1.0</v>
      </c>
      <c r="AC107" s="8" t="s">
        <v>862</v>
      </c>
    </row>
    <row r="108" spans="8:8" ht="18.75" customHeight="1">
      <c r="A108" s="2" t="s">
        <v>864</v>
      </c>
      <c r="B108" s="3" t="s">
        <v>837</v>
      </c>
      <c r="C108" s="3" t="s">
        <v>865</v>
      </c>
      <c r="D108" s="3" t="s">
        <v>859</v>
      </c>
      <c r="E108" s="4">
        <v>1525.0</v>
      </c>
      <c r="F108" s="5">
        <v>1631.8</v>
      </c>
      <c r="G108" s="5">
        <v>1372.5</v>
      </c>
      <c r="H108" s="5">
        <v>1479.3</v>
      </c>
      <c r="I108" s="5">
        <v>1357.2</v>
      </c>
      <c r="J108" s="5">
        <v>1220.0</v>
      </c>
      <c r="K108" s="5">
        <v>1616.5</v>
      </c>
      <c r="L108" s="5">
        <v>1494.5</v>
      </c>
      <c r="M108" s="5">
        <v>1296.3</v>
      </c>
      <c r="N108" s="5">
        <v>1769.0</v>
      </c>
      <c r="O108" s="5">
        <v>1647.0</v>
      </c>
      <c r="P108" s="5">
        <v>1418.2</v>
      </c>
      <c r="Q108" s="5">
        <v>1677.5</v>
      </c>
      <c r="R108" s="5">
        <v>1372.5</v>
      </c>
      <c r="S108" s="5">
        <v>1784.3</v>
      </c>
      <c r="T108" s="5">
        <v>1677.5</v>
      </c>
      <c r="U108" s="5">
        <f>ROUND(AVERAGE(F108:T108),1)</f>
        <v>1520.9</v>
      </c>
      <c r="V108" s="5">
        <f>MIN(F108:T108)</f>
        <v>1220.0</v>
      </c>
      <c r="W108" s="5">
        <f>MAX(F108:T108)</f>
        <v>1784.3</v>
      </c>
      <c r="X108" s="12">
        <f>ROUND(STDEV(F108:T108),1)</f>
        <v>177.7</v>
      </c>
      <c r="Y108" s="12">
        <f>ROUND(X108/U108*100,1)</f>
        <v>11.7</v>
      </c>
      <c r="Z108" s="12">
        <f>ROUND((U108-E108)/E108*100,1)</f>
        <v>-0.3</v>
      </c>
      <c r="AA108" s="4">
        <v>0.0</v>
      </c>
      <c r="AB108" s="4">
        <v>2.0</v>
      </c>
      <c r="AC108" s="3" t="s">
        <v>868</v>
      </c>
    </row>
    <row r="109" spans="8:8" ht="18.75" customHeight="1">
      <c r="A109" s="7" t="s">
        <v>870</v>
      </c>
      <c r="B109" s="8" t="s">
        <v>837</v>
      </c>
      <c r="C109" s="8" t="s">
        <v>871</v>
      </c>
      <c r="D109" s="8" t="s">
        <v>859</v>
      </c>
      <c r="E109" s="9">
        <v>1345.0</v>
      </c>
      <c r="F109" s="10">
        <v>1412.2</v>
      </c>
      <c r="G109" s="10">
        <v>1183.6</v>
      </c>
      <c r="H109" s="10">
        <v>1533.3</v>
      </c>
      <c r="I109" s="10">
        <v>1170.2</v>
      </c>
      <c r="J109" s="10">
        <v>1049.1</v>
      </c>
      <c r="K109" s="10">
        <v>1398.8</v>
      </c>
      <c r="L109" s="10">
        <v>1291.2</v>
      </c>
      <c r="M109" s="10">
        <v>1116.4</v>
      </c>
      <c r="N109" s="10">
        <v>1533.3</v>
      </c>
      <c r="O109" s="10">
        <v>1425.7</v>
      </c>
      <c r="P109" s="10">
        <v>1479.5</v>
      </c>
      <c r="Q109" s="10">
        <v>1452.6</v>
      </c>
      <c r="R109" s="10">
        <v>1183.6</v>
      </c>
      <c r="S109" s="10">
        <v>1546.8</v>
      </c>
      <c r="T109" s="10">
        <v>1452.6</v>
      </c>
      <c r="U109" s="10">
        <f>ROUND(AVERAGE(F109:T109),1)</f>
        <v>1348.6</v>
      </c>
      <c r="V109" s="10">
        <f>MIN(F109:T109)</f>
        <v>1049.1</v>
      </c>
      <c r="W109" s="10">
        <f>MAX(F109:T109)</f>
        <v>1546.8</v>
      </c>
      <c r="X109" s="13">
        <f>ROUND(STDEV(F109:T109),1)</f>
        <v>167.3</v>
      </c>
      <c r="Y109" s="13">
        <f>ROUND(X109/U109*100,1)</f>
        <v>12.4</v>
      </c>
      <c r="Z109" s="13">
        <f>ROUND((U109-E109)/E109*100,1)</f>
        <v>0.3</v>
      </c>
      <c r="AA109" s="9">
        <v>1.0</v>
      </c>
      <c r="AB109" s="9">
        <v>1.0</v>
      </c>
      <c r="AC109" s="8" t="s">
        <v>171</v>
      </c>
    </row>
    <row r="110" spans="8:8" ht="18.75" customHeight="1">
      <c r="A110" s="2" t="s">
        <v>876</v>
      </c>
      <c r="B110" s="3" t="s">
        <v>837</v>
      </c>
      <c r="C110" s="3" t="s">
        <v>877</v>
      </c>
      <c r="D110" s="3" t="s">
        <v>859</v>
      </c>
      <c r="E110" s="4">
        <v>1765.0</v>
      </c>
      <c r="F110" s="5">
        <v>1818.0</v>
      </c>
      <c r="G110" s="5">
        <v>1517.9</v>
      </c>
      <c r="H110" s="5">
        <v>1976.8</v>
      </c>
      <c r="I110" s="5">
        <v>1500.2</v>
      </c>
      <c r="J110" s="5">
        <v>1341.4</v>
      </c>
      <c r="K110" s="5">
        <v>1800.3</v>
      </c>
      <c r="L110" s="5">
        <v>1659.1</v>
      </c>
      <c r="M110" s="5">
        <v>1765.0</v>
      </c>
      <c r="N110" s="5">
        <v>1976.8</v>
      </c>
      <c r="O110" s="5">
        <v>1835.6</v>
      </c>
      <c r="P110" s="5">
        <v>1906.2</v>
      </c>
      <c r="Q110" s="5">
        <v>1870.9</v>
      </c>
      <c r="R110" s="5">
        <v>1517.9</v>
      </c>
      <c r="S110" s="5">
        <v>1994.5</v>
      </c>
      <c r="T110" s="5">
        <v>1870.9</v>
      </c>
      <c r="U110" s="5">
        <f>ROUND(AVERAGE(F110:T110),1)</f>
        <v>1756.8</v>
      </c>
      <c r="V110" s="5">
        <f>MIN(F110:T110)</f>
        <v>1341.4</v>
      </c>
      <c r="W110" s="5">
        <f>MAX(F110:T110)</f>
        <v>1994.5</v>
      </c>
      <c r="X110" s="12">
        <f>ROUND(STDEV(F110:T110),1)</f>
        <v>202.8</v>
      </c>
      <c r="Y110" s="12">
        <f>ROUND(X110/U110*100,1)</f>
        <v>11.5</v>
      </c>
      <c r="Z110" s="12">
        <f>ROUND((U110-E110)/E110*100,1)</f>
        <v>-0.5</v>
      </c>
      <c r="AA110" s="4">
        <v>1.0</v>
      </c>
      <c r="AB110" s="4">
        <v>0.0</v>
      </c>
      <c r="AC110" s="3" t="s">
        <v>880</v>
      </c>
    </row>
    <row r="111" spans="8:8" ht="18.75" customHeight="1">
      <c r="A111" s="7" t="s">
        <v>883</v>
      </c>
      <c r="B111" s="8" t="s">
        <v>884</v>
      </c>
      <c r="C111" s="8" t="s">
        <v>885</v>
      </c>
      <c r="D111" s="8" t="s">
        <v>884</v>
      </c>
      <c r="E111" s="9">
        <v>1425.0</v>
      </c>
      <c r="F111" s="10">
        <v>1439.2</v>
      </c>
      <c r="G111" s="10">
        <v>1197.0</v>
      </c>
      <c r="H111" s="10">
        <v>1567.5</v>
      </c>
      <c r="I111" s="10">
        <v>1182.8</v>
      </c>
      <c r="J111" s="10">
        <v>1325.2</v>
      </c>
      <c r="K111" s="10">
        <v>1425.0</v>
      </c>
      <c r="L111" s="10">
        <v>1311.0</v>
      </c>
      <c r="M111" s="10">
        <v>1396.5</v>
      </c>
      <c r="N111" s="10">
        <v>1567.5</v>
      </c>
      <c r="O111" s="10">
        <v>1453.5</v>
      </c>
      <c r="P111" s="10">
        <v>1510.5</v>
      </c>
      <c r="Q111" s="10">
        <v>1482.0</v>
      </c>
      <c r="R111" s="10">
        <v>1197.0</v>
      </c>
      <c r="S111" s="10">
        <v>1581.8</v>
      </c>
      <c r="T111" s="10">
        <v>1482.0</v>
      </c>
      <c r="U111" s="10">
        <f>ROUND(AVERAGE(F111:T111),1)</f>
        <v>1407.9</v>
      </c>
      <c r="V111" s="10">
        <f>MIN(F111:T111)</f>
        <v>1182.8</v>
      </c>
      <c r="W111" s="10">
        <f>MAX(F111:T111)</f>
        <v>1581.8</v>
      </c>
      <c r="X111" s="13">
        <f>ROUND(STDEV(F111:T111),1)</f>
        <v>136.8</v>
      </c>
      <c r="Y111" s="13">
        <f>ROUND(X111/U111*100,1)</f>
        <v>9.7</v>
      </c>
      <c r="Z111" s="13">
        <f>ROUND((U111-E111)/E111*100,1)</f>
        <v>-1.2</v>
      </c>
      <c r="AA111" s="9">
        <v>0.0</v>
      </c>
      <c r="AB111" s="9">
        <v>0.0</v>
      </c>
      <c r="AC111" s="8" t="s">
        <v>171</v>
      </c>
    </row>
    <row r="112" spans="8:8" ht="18.75" customHeight="1">
      <c r="A112" s="2" t="s">
        <v>889</v>
      </c>
      <c r="B112" s="3" t="s">
        <v>884</v>
      </c>
      <c r="C112" s="3" t="s">
        <v>890</v>
      </c>
      <c r="D112" s="3" t="s">
        <v>884</v>
      </c>
      <c r="E112" s="4">
        <v>1530.0</v>
      </c>
      <c r="F112" s="5">
        <v>1514.7</v>
      </c>
      <c r="G112" s="5">
        <v>1545.3</v>
      </c>
      <c r="H112" s="5">
        <v>1652.4</v>
      </c>
      <c r="I112" s="5">
        <v>1239.3</v>
      </c>
      <c r="J112" s="5">
        <v>1392.3</v>
      </c>
      <c r="K112" s="5">
        <v>1499.4</v>
      </c>
      <c r="L112" s="5">
        <v>1377.0</v>
      </c>
      <c r="M112" s="5">
        <v>1468.8</v>
      </c>
      <c r="N112" s="5">
        <v>1652.4</v>
      </c>
      <c r="O112" s="5">
        <v>1530.0</v>
      </c>
      <c r="P112" s="5">
        <v>1591.2</v>
      </c>
      <c r="Q112" s="5">
        <v>1560.6</v>
      </c>
      <c r="R112" s="5">
        <v>1545.3</v>
      </c>
      <c r="S112" s="5">
        <v>1667.7</v>
      </c>
      <c r="T112" s="5">
        <v>1560.6</v>
      </c>
      <c r="U112" s="5">
        <f>ROUND(AVERAGE(F112:T112),1)</f>
        <v>1519.8</v>
      </c>
      <c r="V112" s="5">
        <f>MIN(F112:T112)</f>
        <v>1239.3</v>
      </c>
      <c r="W112" s="5">
        <f>MAX(F112:T112)</f>
        <v>1667.7</v>
      </c>
      <c r="X112" s="12">
        <f>ROUND(STDEV(F112:T112),1)</f>
        <v>115.0</v>
      </c>
      <c r="Y112" s="12">
        <f>ROUND(X112/U112*100,1)</f>
        <v>7.6</v>
      </c>
      <c r="Z112" s="12">
        <f>ROUND((U112-E112)/E112*100,1)</f>
        <v>-0.7</v>
      </c>
      <c r="AA112" s="4">
        <v>0.0</v>
      </c>
      <c r="AB112" s="4">
        <v>0.0</v>
      </c>
      <c r="AC112" s="3" t="s">
        <v>862</v>
      </c>
    </row>
    <row r="113" spans="8:8" ht="18.75" customHeight="1">
      <c r="A113" s="7" t="s">
        <v>894</v>
      </c>
      <c r="B113" s="8" t="s">
        <v>884</v>
      </c>
      <c r="C113" s="8" t="s">
        <v>895</v>
      </c>
      <c r="D113" s="8" t="s">
        <v>884</v>
      </c>
      <c r="E113" s="9">
        <v>1565.0</v>
      </c>
      <c r="F113" s="10">
        <v>1518.0</v>
      </c>
      <c r="G113" s="10">
        <v>1549.3</v>
      </c>
      <c r="H113" s="10">
        <v>1658.9</v>
      </c>
      <c r="I113" s="10">
        <v>1236.4</v>
      </c>
      <c r="J113" s="10">
        <v>1392.8</v>
      </c>
      <c r="K113" s="10">
        <v>1502.4</v>
      </c>
      <c r="L113" s="10">
        <v>1377.2</v>
      </c>
      <c r="M113" s="10">
        <v>1471.1</v>
      </c>
      <c r="N113" s="10">
        <v>1658.9</v>
      </c>
      <c r="O113" s="10">
        <v>1831.1</v>
      </c>
      <c r="P113" s="10">
        <v>1596.3</v>
      </c>
      <c r="Q113" s="10">
        <v>1565.0</v>
      </c>
      <c r="R113" s="10">
        <v>1549.3</v>
      </c>
      <c r="S113" s="10">
        <v>1674.6</v>
      </c>
      <c r="T113" s="10">
        <v>1565.0</v>
      </c>
      <c r="U113" s="10">
        <f>ROUND(AVERAGE(F113:T113),1)</f>
        <v>1543.1</v>
      </c>
      <c r="V113" s="10">
        <f>MIN(F113:T113)</f>
        <v>1236.4</v>
      </c>
      <c r="W113" s="10">
        <f>MAX(F113:T113)</f>
        <v>1831.1</v>
      </c>
      <c r="X113" s="13">
        <f>ROUND(STDEV(F113:T113),1)</f>
        <v>142.1</v>
      </c>
      <c r="Y113" s="13">
        <f>ROUND(X113/U113*100,1)</f>
        <v>9.2</v>
      </c>
      <c r="Z113" s="13">
        <f>ROUND((U113-E113)/E113*100,1)</f>
        <v>-1.4</v>
      </c>
      <c r="AA113" s="9">
        <v>1.0</v>
      </c>
      <c r="AB113" s="9">
        <v>1.0</v>
      </c>
      <c r="AC113" s="8" t="s">
        <v>898</v>
      </c>
    </row>
    <row r="114" spans="8:8" ht="18.75" customHeight="1">
      <c r="A114" s="2" t="s">
        <v>900</v>
      </c>
      <c r="B114" s="3" t="s">
        <v>884</v>
      </c>
      <c r="C114" s="3" t="s">
        <v>901</v>
      </c>
      <c r="D114" s="3" t="s">
        <v>884</v>
      </c>
      <c r="E114" s="4">
        <v>1485.0</v>
      </c>
      <c r="F114" s="5">
        <v>1410.8</v>
      </c>
      <c r="G114" s="5">
        <v>1440.5</v>
      </c>
      <c r="H114" s="5">
        <v>1544.4</v>
      </c>
      <c r="I114" s="5">
        <v>1143.5</v>
      </c>
      <c r="J114" s="5">
        <v>1292.0</v>
      </c>
      <c r="K114" s="5">
        <v>1395.9</v>
      </c>
      <c r="L114" s="5">
        <v>1559.2</v>
      </c>
      <c r="M114" s="5">
        <v>1366.2</v>
      </c>
      <c r="N114" s="5">
        <v>1544.4</v>
      </c>
      <c r="O114" s="5">
        <v>1707.8</v>
      </c>
      <c r="P114" s="5">
        <v>1485.0</v>
      </c>
      <c r="Q114" s="5">
        <v>1455.3</v>
      </c>
      <c r="R114" s="5">
        <v>1440.5</v>
      </c>
      <c r="S114" s="5">
        <v>1559.2</v>
      </c>
      <c r="T114" s="5">
        <v>1737.5</v>
      </c>
      <c r="U114" s="5">
        <f>ROUND(AVERAGE(F114:T114),1)</f>
        <v>1472.1</v>
      </c>
      <c r="V114" s="5">
        <f>MIN(F114:T114)</f>
        <v>1143.5</v>
      </c>
      <c r="W114" s="5">
        <f>MAX(F114:T114)</f>
        <v>1737.5</v>
      </c>
      <c r="X114" s="12">
        <f>ROUND(STDEV(F114:T114),1)</f>
        <v>150.1</v>
      </c>
      <c r="Y114" s="12">
        <f>ROUND(X114/U114*100,1)</f>
        <v>10.2</v>
      </c>
      <c r="Z114" s="12">
        <f>ROUND((U114-E114)/E114*100,1)</f>
        <v>-0.9</v>
      </c>
      <c r="AA114" s="4">
        <v>1.0</v>
      </c>
      <c r="AB114" s="4">
        <v>2.0</v>
      </c>
      <c r="AC114" s="3" t="s">
        <v>904</v>
      </c>
    </row>
    <row r="115" spans="8:8" ht="18.75" customHeight="1">
      <c r="A115" s="7" t="s">
        <v>906</v>
      </c>
      <c r="B115" s="8" t="s">
        <v>884</v>
      </c>
      <c r="C115" s="8" t="s">
        <v>907</v>
      </c>
      <c r="D115" s="8" t="s">
        <v>884</v>
      </c>
      <c r="E115" s="9">
        <v>1510.0</v>
      </c>
      <c r="F115" s="10">
        <v>1404.3</v>
      </c>
      <c r="G115" s="10">
        <v>1434.5</v>
      </c>
      <c r="H115" s="10">
        <v>1540.2</v>
      </c>
      <c r="I115" s="10">
        <v>1419.4</v>
      </c>
      <c r="J115" s="10">
        <v>1283.5</v>
      </c>
      <c r="K115" s="10">
        <v>1389.2</v>
      </c>
      <c r="L115" s="10">
        <v>1555.3</v>
      </c>
      <c r="M115" s="10">
        <v>1359.0</v>
      </c>
      <c r="N115" s="10">
        <v>1540.2</v>
      </c>
      <c r="O115" s="10">
        <v>1706.3</v>
      </c>
      <c r="P115" s="10">
        <v>1479.8</v>
      </c>
      <c r="Q115" s="10">
        <v>1736.5</v>
      </c>
      <c r="R115" s="10">
        <v>1434.5</v>
      </c>
      <c r="S115" s="10">
        <v>1555.3</v>
      </c>
      <c r="T115" s="10">
        <v>1736.5</v>
      </c>
      <c r="U115" s="10">
        <f>ROUND(AVERAGE(F115:T115),1)</f>
        <v>1505.0</v>
      </c>
      <c r="V115" s="10">
        <f>MIN(F115:T115)</f>
        <v>1283.5</v>
      </c>
      <c r="W115" s="10">
        <f>MAX(F115:T115)</f>
        <v>1736.5</v>
      </c>
      <c r="X115" s="13">
        <f>ROUND(STDEV(F115:T115),1)</f>
        <v>138.1</v>
      </c>
      <c r="Y115" s="13">
        <f>ROUND(X115/U115*100,1)</f>
        <v>9.2</v>
      </c>
      <c r="Z115" s="13">
        <f>ROUND((U115-E115)/E115*100,1)</f>
        <v>-0.3</v>
      </c>
      <c r="AA115" s="9">
        <v>0.0</v>
      </c>
      <c r="AB115" s="9">
        <v>2.0</v>
      </c>
      <c r="AC115" s="8" t="s">
        <v>132</v>
      </c>
    </row>
    <row r="116" spans="8:8" ht="18.75" customHeight="1">
      <c r="A116" s="2" t="s">
        <v>911</v>
      </c>
      <c r="B116" s="3" t="s">
        <v>884</v>
      </c>
      <c r="C116" s="3" t="s">
        <v>912</v>
      </c>
      <c r="D116" s="3" t="s">
        <v>884</v>
      </c>
      <c r="E116" s="4">
        <v>1560.0</v>
      </c>
      <c r="F116" s="5">
        <v>1716.0</v>
      </c>
      <c r="G116" s="5">
        <v>1450.8</v>
      </c>
      <c r="H116" s="5">
        <v>1560.0</v>
      </c>
      <c r="I116" s="5">
        <v>1435.2</v>
      </c>
      <c r="J116" s="5">
        <v>1294.8</v>
      </c>
      <c r="K116" s="5">
        <v>1404.0</v>
      </c>
      <c r="L116" s="5">
        <v>1575.6</v>
      </c>
      <c r="M116" s="5">
        <v>1372.8</v>
      </c>
      <c r="N116" s="5">
        <v>1856.4</v>
      </c>
      <c r="O116" s="5">
        <v>1731.6</v>
      </c>
      <c r="P116" s="5">
        <v>1497.6</v>
      </c>
      <c r="Q116" s="5">
        <v>1762.8</v>
      </c>
      <c r="R116" s="5">
        <v>1450.8</v>
      </c>
      <c r="S116" s="5">
        <v>1575.6</v>
      </c>
      <c r="T116" s="5">
        <v>1762.8</v>
      </c>
      <c r="U116" s="5">
        <f>ROUND(AVERAGE(F116:T116),1)</f>
        <v>1563.1</v>
      </c>
      <c r="V116" s="5">
        <f>MIN(F116:T116)</f>
        <v>1294.8</v>
      </c>
      <c r="W116" s="5">
        <f>MAX(F116:T116)</f>
        <v>1856.4</v>
      </c>
      <c r="X116" s="12">
        <f>ROUND(STDEV(F116:T116),1)</f>
        <v>168.5</v>
      </c>
      <c r="Y116" s="12">
        <f>ROUND(X116/U116*100,1)</f>
        <v>10.8</v>
      </c>
      <c r="Z116" s="12">
        <f>ROUND((U116-E116)/E116*100,1)</f>
        <v>0.2</v>
      </c>
      <c r="AA116" s="4">
        <v>0.0</v>
      </c>
      <c r="AB116" s="4">
        <v>1.0</v>
      </c>
      <c r="AC116" s="3" t="s">
        <v>162</v>
      </c>
    </row>
    <row r="117" spans="8:8" ht="18.75" customHeight="1">
      <c r="A117" s="7" t="s">
        <v>916</v>
      </c>
      <c r="B117" s="8" t="s">
        <v>884</v>
      </c>
      <c r="C117" s="8" t="s">
        <v>917</v>
      </c>
      <c r="D117" s="8" t="s">
        <v>884</v>
      </c>
      <c r="E117" s="9">
        <v>1620.0</v>
      </c>
      <c r="F117" s="10">
        <v>1749.6</v>
      </c>
      <c r="G117" s="10">
        <v>1474.2</v>
      </c>
      <c r="H117" s="10">
        <v>1587.6</v>
      </c>
      <c r="I117" s="10">
        <v>1458.0</v>
      </c>
      <c r="J117" s="10">
        <v>1312.2</v>
      </c>
      <c r="K117" s="10">
        <v>1733.4</v>
      </c>
      <c r="L117" s="10">
        <v>1603.8</v>
      </c>
      <c r="M117" s="10">
        <v>1393.2</v>
      </c>
      <c r="N117" s="10">
        <v>1895.4</v>
      </c>
      <c r="O117" s="10">
        <v>1765.8</v>
      </c>
      <c r="P117" s="10">
        <v>1522.8</v>
      </c>
      <c r="Q117" s="10">
        <v>1798.2</v>
      </c>
      <c r="R117" s="10">
        <v>1474.2</v>
      </c>
      <c r="S117" s="10">
        <v>1603.8</v>
      </c>
      <c r="T117" s="10">
        <v>1798.2</v>
      </c>
      <c r="U117" s="10">
        <f>ROUND(AVERAGE(F117:T117),1)</f>
        <v>1611.4</v>
      </c>
      <c r="V117" s="10">
        <f>MIN(F117:T117)</f>
        <v>1312.2</v>
      </c>
      <c r="W117" s="10">
        <f>MAX(F117:T117)</f>
        <v>1895.4</v>
      </c>
      <c r="X117" s="13">
        <f>ROUND(STDEV(F117:T117),1)</f>
        <v>172.2</v>
      </c>
      <c r="Y117" s="13">
        <f>ROUND(X117/U117*100,1)</f>
        <v>10.7</v>
      </c>
      <c r="Z117" s="13">
        <f>ROUND((U117-E117)/E117*100,1)</f>
        <v>-0.5</v>
      </c>
      <c r="AA117" s="9">
        <v>0.0</v>
      </c>
      <c r="AB117" s="9">
        <v>1.0</v>
      </c>
      <c r="AC117" s="8" t="s">
        <v>162</v>
      </c>
    </row>
    <row r="118" spans="8:8" ht="18.75" customHeight="1">
      <c r="A118" s="2" t="s">
        <v>921</v>
      </c>
      <c r="B118" s="3" t="s">
        <v>884</v>
      </c>
      <c r="C118" s="3" t="s">
        <v>922</v>
      </c>
      <c r="D118" s="3" t="s">
        <v>884</v>
      </c>
      <c r="E118" s="4">
        <v>1335.0</v>
      </c>
      <c r="F118" s="5">
        <v>1415.1</v>
      </c>
      <c r="G118" s="5">
        <v>1188.2</v>
      </c>
      <c r="H118" s="5">
        <v>1535.3</v>
      </c>
      <c r="I118" s="5">
        <v>1174.8</v>
      </c>
      <c r="J118" s="5">
        <v>1054.6</v>
      </c>
      <c r="K118" s="5">
        <v>1401.8</v>
      </c>
      <c r="L118" s="5">
        <v>1295.0</v>
      </c>
      <c r="M118" s="5">
        <v>1121.4</v>
      </c>
      <c r="N118" s="5">
        <v>1535.3</v>
      </c>
      <c r="O118" s="5">
        <v>1428.5</v>
      </c>
      <c r="P118" s="5">
        <v>1228.2</v>
      </c>
      <c r="Q118" s="5">
        <v>1455.2</v>
      </c>
      <c r="R118" s="5">
        <v>1188.2</v>
      </c>
      <c r="S118" s="5">
        <v>1548.6</v>
      </c>
      <c r="T118" s="5">
        <v>1455.2</v>
      </c>
      <c r="U118" s="5">
        <f>ROUND(AVERAGE(F118:T118),1)</f>
        <v>1335.0</v>
      </c>
      <c r="V118" s="5">
        <f>MIN(F118:T118)</f>
        <v>1054.6</v>
      </c>
      <c r="W118" s="5">
        <f>MAX(F118:T118)</f>
        <v>1548.6</v>
      </c>
      <c r="X118" s="12">
        <f>ROUND(STDEV(F118:T118),1)</f>
        <v>164.8</v>
      </c>
      <c r="Y118" s="12">
        <f>ROUND(X118/U118*100,1)</f>
        <v>12.3</v>
      </c>
      <c r="Z118" s="12">
        <f>ROUND((U118-E118)/E118*100,1)</f>
        <v>0.0</v>
      </c>
      <c r="AA118" s="4">
        <v>1.0</v>
      </c>
      <c r="AB118" s="4">
        <v>3.0</v>
      </c>
      <c r="AC118" s="3" t="s">
        <v>171</v>
      </c>
    </row>
    <row r="119" spans="8:8" ht="18.75" customHeight="1">
      <c r="A119" s="7" t="s">
        <v>926</v>
      </c>
      <c r="B119" s="8" t="s">
        <v>884</v>
      </c>
      <c r="C119" s="8" t="s">
        <v>927</v>
      </c>
      <c r="D119" s="8" t="s">
        <v>884</v>
      </c>
      <c r="E119" s="9">
        <v>1410.0</v>
      </c>
      <c r="F119" s="10">
        <v>1466.4</v>
      </c>
      <c r="G119" s="10">
        <v>1226.7</v>
      </c>
      <c r="H119" s="10">
        <v>1593.3</v>
      </c>
      <c r="I119" s="10">
        <v>1212.6</v>
      </c>
      <c r="J119" s="10">
        <v>1085.7</v>
      </c>
      <c r="K119" s="10">
        <v>1452.3</v>
      </c>
      <c r="L119" s="10">
        <v>1339.5</v>
      </c>
      <c r="M119" s="10">
        <v>1156.2</v>
      </c>
      <c r="N119" s="10">
        <v>1593.3</v>
      </c>
      <c r="O119" s="10">
        <v>1480.5</v>
      </c>
      <c r="P119" s="10">
        <v>1536.9</v>
      </c>
      <c r="Q119" s="10">
        <v>1508.7</v>
      </c>
      <c r="R119" s="10">
        <v>1226.7</v>
      </c>
      <c r="S119" s="10">
        <v>1607.4</v>
      </c>
      <c r="T119" s="10">
        <v>1508.7</v>
      </c>
      <c r="U119" s="10">
        <f>ROUND(AVERAGE(F119:T119),1)</f>
        <v>1399.7</v>
      </c>
      <c r="V119" s="10">
        <f>MIN(F119:T119)</f>
        <v>1085.7</v>
      </c>
      <c r="W119" s="10">
        <f>MAX(F119:T119)</f>
        <v>1607.4</v>
      </c>
      <c r="X119" s="13">
        <f>ROUND(STDEV(F119:T119),1)</f>
        <v>175.4</v>
      </c>
      <c r="Y119" s="13">
        <f>ROUND(X119/U119*100,1)</f>
        <v>12.5</v>
      </c>
      <c r="Z119" s="13">
        <f>ROUND((U119-E119)/E119*100,1)</f>
        <v>-0.7</v>
      </c>
      <c r="AA119" s="9">
        <v>1.0</v>
      </c>
      <c r="AB119" s="9">
        <v>0.0</v>
      </c>
      <c r="AC119" s="8" t="s">
        <v>171</v>
      </c>
    </row>
    <row r="120" spans="8:8" ht="18.75" customHeight="1">
      <c r="A120" s="2" t="s">
        <v>931</v>
      </c>
      <c r="B120" s="3" t="s">
        <v>884</v>
      </c>
      <c r="C120" s="3" t="s">
        <v>932</v>
      </c>
      <c r="D120" s="3" t="s">
        <v>884</v>
      </c>
      <c r="E120" s="4">
        <v>1385.0</v>
      </c>
      <c r="F120" s="5">
        <v>1412.7</v>
      </c>
      <c r="G120" s="5">
        <v>1177.3</v>
      </c>
      <c r="H120" s="5">
        <v>1537.4</v>
      </c>
      <c r="I120" s="5">
        <v>1163.4</v>
      </c>
      <c r="J120" s="5">
        <v>1038.8</v>
      </c>
      <c r="K120" s="5">
        <v>1398.8</v>
      </c>
      <c r="L120" s="5">
        <v>1288.0</v>
      </c>
      <c r="M120" s="5">
        <v>1371.2</v>
      </c>
      <c r="N120" s="5">
        <v>1537.4</v>
      </c>
      <c r="O120" s="5">
        <v>1426.5</v>
      </c>
      <c r="P120" s="5">
        <v>1482.0</v>
      </c>
      <c r="Q120" s="5">
        <v>1454.2</v>
      </c>
      <c r="R120" s="5">
        <v>1177.3</v>
      </c>
      <c r="S120" s="5">
        <v>1551.2</v>
      </c>
      <c r="T120" s="5">
        <v>1454.2</v>
      </c>
      <c r="U120" s="5">
        <f>ROUND(AVERAGE(F120:T120),1)</f>
        <v>1364.7</v>
      </c>
      <c r="V120" s="5">
        <f>MIN(F120:T120)</f>
        <v>1038.8</v>
      </c>
      <c r="W120" s="5">
        <f>MAX(F120:T120)</f>
        <v>1551.2</v>
      </c>
      <c r="X120" s="12">
        <f>ROUND(STDEV(F120:T120),1)</f>
        <v>159.1</v>
      </c>
      <c r="Y120" s="12">
        <f>ROUND(X120/U120*100,1)</f>
        <v>11.7</v>
      </c>
      <c r="Z120" s="12">
        <f>ROUND((U120-E120)/E120*100,1)</f>
        <v>-1.5</v>
      </c>
      <c r="AA120" s="4">
        <v>1.0</v>
      </c>
      <c r="AB120" s="4">
        <v>0.0</v>
      </c>
      <c r="AC120" s="3" t="s">
        <v>132</v>
      </c>
    </row>
    <row r="121" spans="8:8" ht="18.75" customHeight="1">
      <c r="A121" s="7" t="s">
        <v>936</v>
      </c>
      <c r="B121" s="8" t="s">
        <v>937</v>
      </c>
      <c r="C121" s="8" t="s">
        <v>938</v>
      </c>
      <c r="D121" s="8" t="s">
        <v>937</v>
      </c>
      <c r="E121" s="9">
        <v>1140.0</v>
      </c>
      <c r="F121" s="10">
        <v>1140.0</v>
      </c>
      <c r="G121" s="10">
        <v>946.2</v>
      </c>
      <c r="H121" s="10">
        <v>1242.6</v>
      </c>
      <c r="I121" s="10">
        <v>934.8</v>
      </c>
      <c r="J121" s="10">
        <v>1048.8</v>
      </c>
      <c r="K121" s="10">
        <v>1128.6</v>
      </c>
      <c r="L121" s="10">
        <v>1037.4</v>
      </c>
      <c r="M121" s="10">
        <v>1105.8</v>
      </c>
      <c r="N121" s="10">
        <v>1242.6</v>
      </c>
      <c r="O121" s="10">
        <v>1151.4</v>
      </c>
      <c r="P121" s="10">
        <v>1197.0</v>
      </c>
      <c r="Q121" s="10">
        <v>1174.2</v>
      </c>
      <c r="R121" s="10">
        <v>1162.8</v>
      </c>
      <c r="S121" s="10">
        <v>1254.0</v>
      </c>
      <c r="T121" s="10">
        <v>1174.2</v>
      </c>
      <c r="U121" s="10">
        <f>ROUND(AVERAGE(F121:T121),1)</f>
        <v>1129.4</v>
      </c>
      <c r="V121" s="10">
        <f>MIN(F121:T121)</f>
        <v>934.8</v>
      </c>
      <c r="W121" s="10">
        <f>MAX(F121:T121)</f>
        <v>1254.0</v>
      </c>
      <c r="X121" s="13">
        <f>ROUND(STDEV(F121:T121),1)</f>
        <v>99.4</v>
      </c>
      <c r="Y121" s="13">
        <f>ROUND(X121/U121*100,1)</f>
        <v>8.8</v>
      </c>
      <c r="Z121" s="13">
        <f>ROUND((U121-E121)/E121*100,1)</f>
        <v>-0.9</v>
      </c>
      <c r="AA121" s="9">
        <v>0.0</v>
      </c>
      <c r="AB121" s="9">
        <v>0.0</v>
      </c>
      <c r="AC121" s="8" t="s">
        <v>942</v>
      </c>
    </row>
    <row r="122" spans="8:8" ht="18.75" customHeight="1">
      <c r="A122" s="2" t="s">
        <v>944</v>
      </c>
      <c r="B122" s="3" t="s">
        <v>937</v>
      </c>
      <c r="C122" s="3" t="s">
        <v>945</v>
      </c>
      <c r="D122" s="3" t="s">
        <v>937</v>
      </c>
      <c r="E122" s="4">
        <v>1280.0</v>
      </c>
      <c r="F122" s="5">
        <v>1254.4</v>
      </c>
      <c r="G122" s="5">
        <v>1280.0</v>
      </c>
      <c r="H122" s="5">
        <v>1369.6</v>
      </c>
      <c r="I122" s="5">
        <v>1024.0</v>
      </c>
      <c r="J122" s="5">
        <v>1152.0</v>
      </c>
      <c r="K122" s="5">
        <v>1241.6</v>
      </c>
      <c r="L122" s="5">
        <v>1139.2</v>
      </c>
      <c r="M122" s="5">
        <v>1216.0</v>
      </c>
      <c r="N122" s="5">
        <v>1369.6</v>
      </c>
      <c r="O122" s="5">
        <v>1510.4</v>
      </c>
      <c r="P122" s="5">
        <v>1318.4</v>
      </c>
      <c r="Q122" s="5">
        <v>1292.8</v>
      </c>
      <c r="R122" s="5">
        <v>1280.0</v>
      </c>
      <c r="S122" s="5">
        <v>1382.4</v>
      </c>
      <c r="T122" s="5">
        <v>1292.8</v>
      </c>
      <c r="U122" s="5">
        <f>ROUND(AVERAGE(F122:T122),1)</f>
        <v>1274.9</v>
      </c>
      <c r="V122" s="5">
        <f>MIN(F122:T122)</f>
        <v>1024.0</v>
      </c>
      <c r="W122" s="5">
        <f>MAX(F122:T122)</f>
        <v>1510.4</v>
      </c>
      <c r="X122" s="12">
        <f>ROUND(STDEV(F122:T122),1)</f>
        <v>116.2</v>
      </c>
      <c r="Y122" s="12">
        <f>ROUND(X122/U122*100,1)</f>
        <v>9.1</v>
      </c>
      <c r="Z122" s="12">
        <f>ROUND((U122-E122)/E122*100,1)</f>
        <v>-0.4</v>
      </c>
      <c r="AA122" s="4">
        <v>0.0</v>
      </c>
      <c r="AB122" s="4">
        <v>1.0</v>
      </c>
      <c r="AC122" s="3" t="s">
        <v>948</v>
      </c>
    </row>
    <row r="123" spans="8:8" ht="18.75" customHeight="1">
      <c r="A123" s="7" t="s">
        <v>953</v>
      </c>
      <c r="B123" s="8" t="s">
        <v>937</v>
      </c>
      <c r="C123" s="8" t="s">
        <v>954</v>
      </c>
      <c r="D123" s="8" t="s">
        <v>937</v>
      </c>
      <c r="E123" s="9">
        <v>745.0</v>
      </c>
      <c r="F123" s="10">
        <v>715.2</v>
      </c>
      <c r="G123" s="10">
        <v>730.1</v>
      </c>
      <c r="H123" s="10">
        <v>782.2</v>
      </c>
      <c r="I123" s="10">
        <v>581.1</v>
      </c>
      <c r="J123" s="10">
        <v>655.6</v>
      </c>
      <c r="K123" s="10">
        <v>707.8</v>
      </c>
      <c r="L123" s="10">
        <v>789.7</v>
      </c>
      <c r="M123" s="10">
        <v>692.9</v>
      </c>
      <c r="N123" s="10">
        <v>782.2</v>
      </c>
      <c r="O123" s="10">
        <v>864.2</v>
      </c>
      <c r="P123" s="10">
        <v>752.5</v>
      </c>
      <c r="Q123" s="10">
        <v>737.5</v>
      </c>
      <c r="R123" s="10">
        <v>730.1</v>
      </c>
      <c r="S123" s="10">
        <v>789.7</v>
      </c>
      <c r="T123" s="10">
        <v>737.6</v>
      </c>
      <c r="U123" s="10">
        <f>ROUND(AVERAGE(F123:T123),1)</f>
        <v>736.6</v>
      </c>
      <c r="V123" s="10">
        <f>MIN(F123:T123)</f>
        <v>581.1</v>
      </c>
      <c r="W123" s="10">
        <f>MAX(F123:T123)</f>
        <v>864.2</v>
      </c>
      <c r="X123" s="13">
        <f>ROUND(STDEV(F123:T123),1)</f>
        <v>65.7</v>
      </c>
      <c r="Y123" s="13">
        <f>ROUND(X123/U123*100,1)</f>
        <v>8.9</v>
      </c>
      <c r="Z123" s="13">
        <f>ROUND((U123-E123)/E123*100,1)</f>
        <v>-1.1</v>
      </c>
      <c r="AA123" s="9">
        <v>1.0</v>
      </c>
      <c r="AB123" s="9">
        <v>1.0</v>
      </c>
      <c r="AC123" s="8" t="s">
        <v>957</v>
      </c>
    </row>
    <row r="124" spans="8:8" ht="18.75" customHeight="1">
      <c r="A124" s="2" t="s">
        <v>961</v>
      </c>
      <c r="B124" s="3" t="s">
        <v>962</v>
      </c>
      <c r="C124" s="3" t="s">
        <v>963</v>
      </c>
      <c r="D124" s="3" t="s">
        <v>962</v>
      </c>
      <c r="E124" s="4">
        <v>115.0</v>
      </c>
      <c r="F124" s="5">
        <v>102.6</v>
      </c>
      <c r="G124" s="5">
        <v>113.2</v>
      </c>
      <c r="H124" s="5">
        <v>116.4</v>
      </c>
      <c r="I124" s="5">
        <v>115.5</v>
      </c>
      <c r="J124" s="5">
        <v>100.3</v>
      </c>
      <c r="K124" s="5">
        <v>103.5</v>
      </c>
      <c r="L124" s="5">
        <v>124.4</v>
      </c>
      <c r="M124" s="5">
        <v>104.7</v>
      </c>
      <c r="N124" s="5">
        <v>113.6</v>
      </c>
      <c r="O124" s="5">
        <v>134.6</v>
      </c>
      <c r="P124" s="5">
        <v>112.5</v>
      </c>
      <c r="Q124" s="5">
        <v>105.3</v>
      </c>
      <c r="R124" s="5">
        <v>112.5</v>
      </c>
      <c r="S124" s="5">
        <v>116.8</v>
      </c>
      <c r="T124" s="5">
        <v>138.9</v>
      </c>
      <c r="U124" s="5">
        <f>ROUND(AVERAGE(F124:T124),1)</f>
        <v>114.3</v>
      </c>
      <c r="V124" s="5">
        <f>MIN(F124:T124)</f>
        <v>100.3</v>
      </c>
      <c r="W124" s="5">
        <f>MAX(F124:T124)</f>
        <v>138.9</v>
      </c>
      <c r="X124" s="12">
        <f>ROUND(STDEV(F124:T124),1)</f>
        <v>11.2</v>
      </c>
      <c r="Y124" s="12">
        <f>ROUND(X124/U124*100,1)</f>
        <v>9.8</v>
      </c>
      <c r="Z124" s="12">
        <f>ROUND((U124-E124)/E124*100,1)</f>
        <v>-0.6</v>
      </c>
      <c r="AA124" s="4">
        <v>0.0</v>
      </c>
      <c r="AB124" s="4">
        <v>2.0</v>
      </c>
      <c r="AC124" s="3" t="s">
        <v>966</v>
      </c>
    </row>
    <row r="125" spans="8:8" ht="18.75" customHeight="1">
      <c r="A125" s="7" t="s">
        <v>973</v>
      </c>
      <c r="B125" s="8" t="s">
        <v>974</v>
      </c>
      <c r="C125" s="8" t="s">
        <v>975</v>
      </c>
      <c r="D125" s="8" t="s">
        <v>974</v>
      </c>
      <c r="E125" s="9">
        <v>1180.0</v>
      </c>
      <c r="F125" s="10">
        <v>1309.8</v>
      </c>
      <c r="G125" s="10">
        <v>1109.2</v>
      </c>
      <c r="H125" s="10">
        <v>1191.8</v>
      </c>
      <c r="I125" s="10">
        <v>1097.4</v>
      </c>
      <c r="J125" s="10">
        <v>991.2</v>
      </c>
      <c r="K125" s="10">
        <v>1073.8</v>
      </c>
      <c r="L125" s="10">
        <v>1203.6</v>
      </c>
      <c r="M125" s="10">
        <v>1050.2</v>
      </c>
      <c r="N125" s="10">
        <v>1191.8</v>
      </c>
      <c r="O125" s="10">
        <v>1321.6</v>
      </c>
      <c r="P125" s="10">
        <v>1144.6</v>
      </c>
      <c r="Q125" s="10">
        <v>1345.2</v>
      </c>
      <c r="R125" s="10">
        <v>1109.2</v>
      </c>
      <c r="S125" s="10">
        <v>1203.6</v>
      </c>
      <c r="T125" s="10">
        <v>1345.2</v>
      </c>
      <c r="U125" s="10">
        <f>ROUND(AVERAGE(F125:T125),1)</f>
        <v>1179.2</v>
      </c>
      <c r="V125" s="10">
        <f>MIN(F125:T125)</f>
        <v>991.2</v>
      </c>
      <c r="W125" s="10">
        <f>MAX(F125:T125)</f>
        <v>1345.2</v>
      </c>
      <c r="X125" s="13">
        <f>ROUND(STDEV(F125:T125),1)</f>
        <v>111.7</v>
      </c>
      <c r="Y125" s="13">
        <f>ROUND(X125/U125*100,1)</f>
        <v>9.5</v>
      </c>
      <c r="Z125" s="13">
        <f>ROUND((U125-E125)/E125*100,1)</f>
        <v>-0.1</v>
      </c>
      <c r="AA125" s="9">
        <v>0.0</v>
      </c>
      <c r="AB125" s="9">
        <v>0.0</v>
      </c>
      <c r="AC125" s="8" t="s">
        <v>942</v>
      </c>
    </row>
    <row r="126" spans="8:8" ht="18.75" customHeight="1">
      <c r="A126" s="2" t="s">
        <v>979</v>
      </c>
      <c r="B126" s="3" t="s">
        <v>974</v>
      </c>
      <c r="C126" s="3" t="s">
        <v>980</v>
      </c>
      <c r="D126" s="3" t="s">
        <v>974</v>
      </c>
      <c r="E126" s="4">
        <v>1680.0</v>
      </c>
      <c r="F126" s="5">
        <v>1831.2</v>
      </c>
      <c r="G126" s="5">
        <v>1545.6</v>
      </c>
      <c r="H126" s="5">
        <v>1663.2</v>
      </c>
      <c r="I126" s="5">
        <v>1528.8</v>
      </c>
      <c r="J126" s="5">
        <v>1377.6</v>
      </c>
      <c r="K126" s="5">
        <v>1495.2</v>
      </c>
      <c r="L126" s="5">
        <v>1680.0</v>
      </c>
      <c r="M126" s="5">
        <v>1461.6</v>
      </c>
      <c r="N126" s="5">
        <v>1982.4</v>
      </c>
      <c r="O126" s="5">
        <v>1848.0</v>
      </c>
      <c r="P126" s="5">
        <v>1596.0</v>
      </c>
      <c r="Q126" s="5">
        <v>1881.6</v>
      </c>
      <c r="R126" s="5">
        <v>1545.6</v>
      </c>
      <c r="S126" s="5">
        <v>1680.0</v>
      </c>
      <c r="T126" s="5">
        <v>1881.6</v>
      </c>
      <c r="U126" s="5">
        <f>ROUND(AVERAGE(F126:T126),1)</f>
        <v>1666.6</v>
      </c>
      <c r="V126" s="5">
        <f>MIN(F126:T126)</f>
        <v>1377.6</v>
      </c>
      <c r="W126" s="5">
        <f>MAX(F126:T126)</f>
        <v>1982.4</v>
      </c>
      <c r="X126" s="12">
        <f>ROUND(STDEV(F126:T126),1)</f>
        <v>181.4</v>
      </c>
      <c r="Y126" s="12">
        <f>ROUND(X126/U126*100,1)</f>
        <v>10.9</v>
      </c>
      <c r="Z126" s="12">
        <f>ROUND((U126-E126)/E126*100,1)</f>
        <v>-0.8</v>
      </c>
      <c r="AA126" s="4">
        <v>0.0</v>
      </c>
      <c r="AB126" s="4">
        <v>1.0</v>
      </c>
      <c r="AC126" s="3" t="s">
        <v>984</v>
      </c>
    </row>
    <row r="127" spans="8:8" ht="18.75" customHeight="1">
      <c r="A127" s="7" t="s">
        <v>986</v>
      </c>
      <c r="B127" s="8" t="s">
        <v>974</v>
      </c>
      <c r="C127" s="8" t="s">
        <v>987</v>
      </c>
      <c r="D127" s="8" t="s">
        <v>974</v>
      </c>
      <c r="E127" s="9">
        <v>1290.0</v>
      </c>
      <c r="F127" s="10">
        <v>1380.3</v>
      </c>
      <c r="G127" s="10">
        <v>1161.0</v>
      </c>
      <c r="H127" s="10">
        <v>1251.3</v>
      </c>
      <c r="I127" s="10">
        <v>1148.1</v>
      </c>
      <c r="J127" s="10">
        <v>1032.0</v>
      </c>
      <c r="K127" s="10">
        <v>1367.4</v>
      </c>
      <c r="L127" s="10">
        <v>1264.2</v>
      </c>
      <c r="M127" s="10">
        <v>1096.5</v>
      </c>
      <c r="N127" s="10">
        <v>1496.4</v>
      </c>
      <c r="O127" s="10">
        <v>1393.2</v>
      </c>
      <c r="P127" s="10">
        <v>1199.7</v>
      </c>
      <c r="Q127" s="10">
        <v>1419.0</v>
      </c>
      <c r="R127" s="10">
        <v>1161.0</v>
      </c>
      <c r="S127" s="10">
        <v>1509.3</v>
      </c>
      <c r="T127" s="10">
        <v>1419.0</v>
      </c>
      <c r="U127" s="10">
        <f>ROUND(AVERAGE(F127:T127),1)</f>
        <v>1286.6</v>
      </c>
      <c r="V127" s="10">
        <f>MIN(F127:T127)</f>
        <v>1032.0</v>
      </c>
      <c r="W127" s="10">
        <f>MAX(F127:T127)</f>
        <v>1509.3</v>
      </c>
      <c r="X127" s="13">
        <f>ROUND(STDEV(F127:T127),1)</f>
        <v>150.3</v>
      </c>
      <c r="Y127" s="13">
        <f>ROUND(X127/U127*100,1)</f>
        <v>11.7</v>
      </c>
      <c r="Z127" s="13">
        <f>ROUND((U127-E127)/E127*100,1)</f>
        <v>-0.3</v>
      </c>
      <c r="AA127" s="9">
        <v>0.0</v>
      </c>
      <c r="AB127" s="9">
        <v>2.0</v>
      </c>
      <c r="AC127" s="8" t="s">
        <v>991</v>
      </c>
    </row>
    <row r="128" spans="8:8" ht="18.75" customHeight="1">
      <c r="A128" s="2" t="s">
        <v>993</v>
      </c>
      <c r="B128" s="3" t="s">
        <v>974</v>
      </c>
      <c r="C128" s="3" t="s">
        <v>994</v>
      </c>
      <c r="D128" s="3" t="s">
        <v>974</v>
      </c>
      <c r="E128" s="4">
        <v>285.0</v>
      </c>
      <c r="F128" s="5">
        <v>304.4</v>
      </c>
      <c r="G128" s="5">
        <v>244.0</v>
      </c>
      <c r="H128" s="5">
        <v>338.6</v>
      </c>
      <c r="I128" s="5">
        <v>249.7</v>
      </c>
      <c r="J128" s="5">
        <v>212.0</v>
      </c>
      <c r="K128" s="5">
        <v>306.7</v>
      </c>
      <c r="L128" s="5">
        <v>271.9</v>
      </c>
      <c r="M128" s="5">
        <v>222.9</v>
      </c>
      <c r="N128" s="5">
        <v>331.7</v>
      </c>
      <c r="O128" s="5">
        <v>297.0</v>
      </c>
      <c r="P128" s="5">
        <v>328.9</v>
      </c>
      <c r="Q128" s="5">
        <v>311.2</v>
      </c>
      <c r="R128" s="5">
        <v>242.3</v>
      </c>
      <c r="S128" s="5">
        <v>339.7</v>
      </c>
      <c r="T128" s="5">
        <v>307.8</v>
      </c>
      <c r="U128" s="5">
        <f>ROUND(AVERAGE(F128:T128),1)</f>
        <v>287.3</v>
      </c>
      <c r="V128" s="5">
        <f>MIN(F128:T128)</f>
        <v>212.0</v>
      </c>
      <c r="W128" s="5">
        <f>MAX(F128:T128)</f>
        <v>339.7</v>
      </c>
      <c r="X128" s="12">
        <f>ROUND(STDEV(F128:T128),1)</f>
        <v>43.3</v>
      </c>
      <c r="Y128" s="12">
        <f>ROUND(X128/U128*100,1)</f>
        <v>15.1</v>
      </c>
      <c r="Z128" s="12">
        <f>ROUND((U128-E128)/E128*100,1)</f>
        <v>0.8</v>
      </c>
      <c r="AA128" s="4">
        <v>2.0</v>
      </c>
      <c r="AB128" s="4">
        <v>4.0</v>
      </c>
      <c r="AC128" s="3" t="s">
        <v>997</v>
      </c>
    </row>
    <row r="129" spans="8:8" ht="18.75" customHeight="1">
      <c r="A129" s="7" t="s">
        <v>999</v>
      </c>
      <c r="B129" s="8" t="s">
        <v>1000</v>
      </c>
      <c r="C129" s="8" t="s">
        <v>1001</v>
      </c>
      <c r="D129" s="8" t="s">
        <v>1000</v>
      </c>
      <c r="E129" s="9">
        <v>1420.0</v>
      </c>
      <c r="F129" s="10">
        <v>1462.6</v>
      </c>
      <c r="G129" s="10">
        <v>1221.2</v>
      </c>
      <c r="H129" s="10">
        <v>1590.4</v>
      </c>
      <c r="I129" s="10">
        <v>1207.0</v>
      </c>
      <c r="J129" s="10">
        <v>1079.2</v>
      </c>
      <c r="K129" s="10">
        <v>1448.4</v>
      </c>
      <c r="L129" s="10">
        <v>1334.8</v>
      </c>
      <c r="M129" s="10">
        <v>1420.0</v>
      </c>
      <c r="N129" s="10">
        <v>1590.4</v>
      </c>
      <c r="O129" s="10">
        <v>1476.8</v>
      </c>
      <c r="P129" s="10">
        <v>1533.6</v>
      </c>
      <c r="Q129" s="10">
        <v>1505.2</v>
      </c>
      <c r="R129" s="10">
        <v>1221.2</v>
      </c>
      <c r="S129" s="10">
        <v>1604.6</v>
      </c>
      <c r="T129" s="10">
        <v>1505.2</v>
      </c>
      <c r="U129" s="10">
        <f>ROUND(AVERAGE(F129:T129),1)</f>
        <v>1413.4</v>
      </c>
      <c r="V129" s="10">
        <f>MIN(F129:T129)</f>
        <v>1079.2</v>
      </c>
      <c r="W129" s="10">
        <f>MAX(F129:T129)</f>
        <v>1604.6</v>
      </c>
      <c r="X129" s="13">
        <f>ROUND(STDEV(F129:T129),1)</f>
        <v>163.1</v>
      </c>
      <c r="Y129" s="13">
        <f>ROUND(X129/U129*100,1)</f>
        <v>11.5</v>
      </c>
      <c r="Z129" s="13">
        <f>ROUND((U129-E129)/E129*100,1)</f>
        <v>-0.5</v>
      </c>
      <c r="AA129" s="9">
        <v>1.0</v>
      </c>
      <c r="AB129" s="9">
        <v>0.0</v>
      </c>
      <c r="AC129" s="8" t="s">
        <v>741</v>
      </c>
    </row>
    <row r="130" spans="8:8" ht="18.75" customHeight="1">
      <c r="A130" s="2" t="s">
        <v>1005</v>
      </c>
      <c r="B130" s="3" t="s">
        <v>1000</v>
      </c>
      <c r="C130" s="3" t="s">
        <v>1006</v>
      </c>
      <c r="D130" s="3" t="s">
        <v>1000</v>
      </c>
      <c r="E130" s="4">
        <v>1540.0</v>
      </c>
      <c r="F130" s="5">
        <v>1555.4</v>
      </c>
      <c r="G130" s="5">
        <v>1293.6</v>
      </c>
      <c r="H130" s="5">
        <v>1694.0</v>
      </c>
      <c r="I130" s="5">
        <v>1278.2</v>
      </c>
      <c r="J130" s="5">
        <v>1432.2</v>
      </c>
      <c r="K130" s="5">
        <v>1540.0</v>
      </c>
      <c r="L130" s="5">
        <v>1416.8</v>
      </c>
      <c r="M130" s="5">
        <v>1509.2</v>
      </c>
      <c r="N130" s="5">
        <v>1694.0</v>
      </c>
      <c r="O130" s="5">
        <v>1570.8</v>
      </c>
      <c r="P130" s="5">
        <v>1632.4</v>
      </c>
      <c r="Q130" s="5">
        <v>1601.6</v>
      </c>
      <c r="R130" s="5">
        <v>1293.6</v>
      </c>
      <c r="S130" s="5">
        <v>1709.4</v>
      </c>
      <c r="T130" s="5">
        <v>1601.6</v>
      </c>
      <c r="U130" s="5">
        <f>ROUND(AVERAGE(F130:T130),1)</f>
        <v>1521.5</v>
      </c>
      <c r="V130" s="5">
        <f>MIN(F130:T130)</f>
        <v>1278.2</v>
      </c>
      <c r="W130" s="5">
        <f>MAX(F130:T130)</f>
        <v>1709.4</v>
      </c>
      <c r="X130" s="12">
        <f>ROUND(STDEV(F130:T130),1)</f>
        <v>147.8</v>
      </c>
      <c r="Y130" s="12">
        <f>ROUND(X130/U130*100,1)</f>
        <v>9.7</v>
      </c>
      <c r="Z130" s="12">
        <f>ROUND((U130-E130)/E130*100,1)</f>
        <v>-1.2</v>
      </c>
      <c r="AA130" s="4">
        <v>0.0</v>
      </c>
      <c r="AB130" s="4">
        <v>0.0</v>
      </c>
      <c r="AC130" s="3" t="s">
        <v>1010</v>
      </c>
    </row>
    <row r="131" spans="8:8" ht="18.75" customHeight="1">
      <c r="A131" s="7" t="s">
        <v>1012</v>
      </c>
      <c r="B131" s="8" t="s">
        <v>1000</v>
      </c>
      <c r="C131" s="8" t="s">
        <v>1013</v>
      </c>
      <c r="D131" s="8" t="s">
        <v>1000</v>
      </c>
      <c r="E131" s="9">
        <v>1650.0</v>
      </c>
      <c r="F131" s="10">
        <v>1633.5</v>
      </c>
      <c r="G131" s="10">
        <v>1666.5</v>
      </c>
      <c r="H131" s="10">
        <v>1782.0</v>
      </c>
      <c r="I131" s="10">
        <v>1336.5</v>
      </c>
      <c r="J131" s="10">
        <v>1501.5</v>
      </c>
      <c r="K131" s="10">
        <v>1617.0</v>
      </c>
      <c r="L131" s="10">
        <v>1485.0</v>
      </c>
      <c r="M131" s="10">
        <v>1584.0</v>
      </c>
      <c r="N131" s="10">
        <v>1782.0</v>
      </c>
      <c r="O131" s="10">
        <v>1650.0</v>
      </c>
      <c r="P131" s="10">
        <v>1716.0</v>
      </c>
      <c r="Q131" s="10">
        <v>1683.0</v>
      </c>
      <c r="R131" s="10">
        <v>1666.5</v>
      </c>
      <c r="S131" s="10">
        <v>1798.5</v>
      </c>
      <c r="T131" s="10">
        <v>1683.0</v>
      </c>
      <c r="U131" s="10">
        <f>ROUND(AVERAGE(F131:T131),1)</f>
        <v>1639.0</v>
      </c>
      <c r="V131" s="10">
        <f>MIN(F131:T131)</f>
        <v>1336.5</v>
      </c>
      <c r="W131" s="10">
        <f>MAX(F131:T131)</f>
        <v>1798.5</v>
      </c>
      <c r="X131" s="13">
        <f>ROUND(STDEV(F131:T131),1)</f>
        <v>124.1</v>
      </c>
      <c r="Y131" s="13">
        <f>ROUND(X131/U131*100,1)</f>
        <v>7.6</v>
      </c>
      <c r="Z131" s="13">
        <f>ROUND((U131-E131)/E131*100,1)</f>
        <v>-0.7</v>
      </c>
      <c r="AA131" s="9">
        <v>0.0</v>
      </c>
      <c r="AB131" s="9">
        <v>0.0</v>
      </c>
      <c r="AC131" s="8" t="s">
        <v>1016</v>
      </c>
    </row>
    <row r="132" spans="8:8" ht="18.75" customHeight="1">
      <c r="A132" s="2" t="s">
        <v>1019</v>
      </c>
      <c r="B132" s="3" t="s">
        <v>1020</v>
      </c>
      <c r="C132" s="3" t="s">
        <v>1021</v>
      </c>
      <c r="D132" s="3" t="s">
        <v>1022</v>
      </c>
      <c r="E132" s="4">
        <v>2240.0</v>
      </c>
      <c r="F132" s="5">
        <v>2172.8</v>
      </c>
      <c r="G132" s="5">
        <v>2217.6</v>
      </c>
      <c r="H132" s="5">
        <v>2374.4</v>
      </c>
      <c r="I132" s="5">
        <v>1769.6</v>
      </c>
      <c r="J132" s="5">
        <v>1993.6</v>
      </c>
      <c r="K132" s="5">
        <v>2150.4</v>
      </c>
      <c r="L132" s="5">
        <v>1971.2</v>
      </c>
      <c r="M132" s="5">
        <v>2105.6</v>
      </c>
      <c r="N132" s="5">
        <v>2374.4</v>
      </c>
      <c r="O132" s="5">
        <v>2620.8</v>
      </c>
      <c r="P132" s="5">
        <v>2284.8</v>
      </c>
      <c r="Q132" s="5">
        <v>2240.0</v>
      </c>
      <c r="R132" s="5">
        <v>2217.6</v>
      </c>
      <c r="S132" s="5">
        <v>2396.8</v>
      </c>
      <c r="T132" s="5">
        <v>2240.0</v>
      </c>
      <c r="U132" s="5">
        <f>ROUND(AVERAGE(F132:T132),1)</f>
        <v>2208.6</v>
      </c>
      <c r="V132" s="5">
        <f>MIN(F132:T132)</f>
        <v>1769.6</v>
      </c>
      <c r="W132" s="5">
        <f>MAX(F132:T132)</f>
        <v>2620.8</v>
      </c>
      <c r="X132" s="12">
        <f>ROUND(STDEV(F132:T132),1)</f>
        <v>203.3</v>
      </c>
      <c r="Y132" s="12">
        <f>ROUND(X132/U132*100,1)</f>
        <v>9.2</v>
      </c>
      <c r="Z132" s="12">
        <f>ROUND((U132-E132)/E132*100,1)</f>
        <v>-1.4</v>
      </c>
      <c r="AA132" s="4">
        <v>1.0</v>
      </c>
      <c r="AB132" s="4">
        <v>1.0</v>
      </c>
      <c r="AC132" s="3" t="s">
        <v>1025</v>
      </c>
    </row>
    <row r="133" spans="8:8" ht="18.75" customHeight="1">
      <c r="A133" s="7" t="s">
        <v>1028</v>
      </c>
      <c r="B133" s="8" t="s">
        <v>1020</v>
      </c>
      <c r="C133" s="8" t="s">
        <v>1029</v>
      </c>
      <c r="D133" s="8" t="s">
        <v>1022</v>
      </c>
      <c r="E133" s="9">
        <v>2410.0</v>
      </c>
      <c r="F133" s="10">
        <v>2289.5</v>
      </c>
      <c r="G133" s="10">
        <v>2337.7</v>
      </c>
      <c r="H133" s="10">
        <v>2506.4</v>
      </c>
      <c r="I133" s="10">
        <v>1855.7</v>
      </c>
      <c r="J133" s="10">
        <v>2096.7</v>
      </c>
      <c r="K133" s="10">
        <v>2265.4</v>
      </c>
      <c r="L133" s="10">
        <v>2530.5</v>
      </c>
      <c r="M133" s="10">
        <v>2217.2</v>
      </c>
      <c r="N133" s="10">
        <v>2506.4</v>
      </c>
      <c r="O133" s="10">
        <v>2771.5</v>
      </c>
      <c r="P133" s="10">
        <v>2410.0</v>
      </c>
      <c r="Q133" s="10">
        <v>2361.8</v>
      </c>
      <c r="R133" s="10">
        <v>2337.7</v>
      </c>
      <c r="S133" s="10">
        <v>2530.5</v>
      </c>
      <c r="T133" s="10">
        <v>2819.7</v>
      </c>
      <c r="U133" s="10">
        <f>ROUND(AVERAGE(F133:T133),1)</f>
        <v>2389.1</v>
      </c>
      <c r="V133" s="10">
        <f>MIN(F133:T133)</f>
        <v>1855.7</v>
      </c>
      <c r="W133" s="10">
        <f>MAX(F133:T133)</f>
        <v>2819.7</v>
      </c>
      <c r="X133" s="13">
        <f>ROUND(STDEV(F133:T133),1)</f>
        <v>243.5</v>
      </c>
      <c r="Y133" s="13">
        <f>ROUND(X133/U133*100,1)</f>
        <v>10.2</v>
      </c>
      <c r="Z133" s="13">
        <f>ROUND((U133-E133)/E133*100,1)</f>
        <v>-0.9</v>
      </c>
      <c r="AA133" s="9">
        <v>1.0</v>
      </c>
      <c r="AB133" s="9">
        <v>1.0</v>
      </c>
      <c r="AC133" s="8" t="s">
        <v>1033</v>
      </c>
    </row>
    <row r="134" spans="8:8" ht="18.75" customHeight="1">
      <c r="A134" s="2" t="s">
        <v>1035</v>
      </c>
      <c r="B134" s="3" t="s">
        <v>1020</v>
      </c>
      <c r="C134" s="3" t="s">
        <v>1036</v>
      </c>
      <c r="D134" s="3" t="s">
        <v>1022</v>
      </c>
      <c r="E134" s="4">
        <v>1680.0</v>
      </c>
      <c r="F134" s="5">
        <v>1562.4</v>
      </c>
      <c r="G134" s="5">
        <v>1596.0</v>
      </c>
      <c r="H134" s="5">
        <v>1713.6</v>
      </c>
      <c r="I134" s="5">
        <v>1579.2</v>
      </c>
      <c r="J134" s="5">
        <v>1428.0</v>
      </c>
      <c r="K134" s="5">
        <v>1545.6</v>
      </c>
      <c r="L134" s="5">
        <v>1730.4</v>
      </c>
      <c r="M134" s="5">
        <v>1512.0</v>
      </c>
      <c r="N134" s="5">
        <v>1713.6</v>
      </c>
      <c r="O134" s="5">
        <v>1898.4</v>
      </c>
      <c r="P134" s="5">
        <v>1646.4</v>
      </c>
      <c r="Q134" s="5">
        <v>1932.0</v>
      </c>
      <c r="R134" s="5">
        <v>1596.0</v>
      </c>
      <c r="S134" s="5">
        <v>1730.4</v>
      </c>
      <c r="T134" s="5">
        <v>1932.0</v>
      </c>
      <c r="U134" s="5">
        <f>ROUND(AVERAGE(F134:T134),1)</f>
        <v>1674.4</v>
      </c>
      <c r="V134" s="5">
        <f>MIN(F134:T134)</f>
        <v>1428.0</v>
      </c>
      <c r="W134" s="5">
        <f>MAX(F134:T134)</f>
        <v>1932.0</v>
      </c>
      <c r="X134" s="12">
        <f>ROUND(STDEV(F134:T134),1)</f>
        <v>153.7</v>
      </c>
      <c r="Y134" s="12">
        <f>ROUND(X134/U134*100,1)</f>
        <v>9.2</v>
      </c>
      <c r="Z134" s="12">
        <f>ROUND((U134-E134)/E134*100,1)</f>
        <v>-0.3</v>
      </c>
      <c r="AA134" s="4">
        <v>0.0</v>
      </c>
      <c r="AB134" s="4">
        <v>2.0</v>
      </c>
      <c r="AC134" s="3" t="s">
        <v>1039</v>
      </c>
    </row>
    <row r="135" spans="8:8" ht="18.75" customHeight="1">
      <c r="A135" s="7" t="s">
        <v>1042</v>
      </c>
      <c r="B135" s="8" t="s">
        <v>1020</v>
      </c>
      <c r="C135" s="8" t="s">
        <v>1043</v>
      </c>
      <c r="D135" s="8" t="s">
        <v>1022</v>
      </c>
      <c r="E135" s="9">
        <v>2150.0</v>
      </c>
      <c r="F135" s="10">
        <v>2365.0</v>
      </c>
      <c r="G135" s="10">
        <v>1999.5</v>
      </c>
      <c r="H135" s="10">
        <v>2150.0</v>
      </c>
      <c r="I135" s="10">
        <v>1978.0</v>
      </c>
      <c r="J135" s="10">
        <v>1784.5</v>
      </c>
      <c r="K135" s="10">
        <v>1935.0</v>
      </c>
      <c r="L135" s="10">
        <v>2171.5</v>
      </c>
      <c r="M135" s="10">
        <v>1892.0</v>
      </c>
      <c r="N135" s="10">
        <v>2558.5</v>
      </c>
      <c r="O135" s="10">
        <v>2386.5</v>
      </c>
      <c r="P135" s="10">
        <v>2064.0</v>
      </c>
      <c r="Q135" s="10">
        <v>2429.5</v>
      </c>
      <c r="R135" s="10">
        <v>1999.5</v>
      </c>
      <c r="S135" s="10">
        <v>2171.5</v>
      </c>
      <c r="T135" s="10">
        <v>2429.5</v>
      </c>
      <c r="U135" s="10">
        <f>ROUND(AVERAGE(F135:T135),1)</f>
        <v>2154.3</v>
      </c>
      <c r="V135" s="10">
        <f>MIN(F135:T135)</f>
        <v>1784.5</v>
      </c>
      <c r="W135" s="10">
        <f>MAX(F135:T135)</f>
        <v>2558.5</v>
      </c>
      <c r="X135" s="13">
        <f>ROUND(STDEV(F135:T135),1)</f>
        <v>232.2</v>
      </c>
      <c r="Y135" s="13">
        <f>ROUND(X135/U135*100,1)</f>
        <v>10.8</v>
      </c>
      <c r="Z135" s="13">
        <f>ROUND((U135-E135)/E135*100,1)</f>
        <v>0.2</v>
      </c>
      <c r="AA135" s="9">
        <v>0.0</v>
      </c>
      <c r="AB135" s="9">
        <v>1.0</v>
      </c>
      <c r="AC135" s="8" t="s">
        <v>1039</v>
      </c>
    </row>
    <row r="136" spans="8:8" ht="18.75" customHeight="1">
      <c r="A136" s="2" t="s">
        <v>1047</v>
      </c>
      <c r="B136" s="3" t="s">
        <v>1020</v>
      </c>
      <c r="C136" s="3" t="s">
        <v>1048</v>
      </c>
      <c r="D136" s="3" t="s">
        <v>1022</v>
      </c>
      <c r="E136" s="4">
        <v>2850.0</v>
      </c>
      <c r="F136" s="5">
        <v>3078.0</v>
      </c>
      <c r="G136" s="5">
        <v>2593.5</v>
      </c>
      <c r="H136" s="5">
        <v>2793.0</v>
      </c>
      <c r="I136" s="5">
        <v>2565.0</v>
      </c>
      <c r="J136" s="5">
        <v>2308.5</v>
      </c>
      <c r="K136" s="5">
        <v>3049.5</v>
      </c>
      <c r="L136" s="5">
        <v>2821.5</v>
      </c>
      <c r="M136" s="5">
        <v>2451.0</v>
      </c>
      <c r="N136" s="5">
        <v>3334.5</v>
      </c>
      <c r="O136" s="5">
        <v>3106.5</v>
      </c>
      <c r="P136" s="5">
        <v>2679.0</v>
      </c>
      <c r="Q136" s="5">
        <v>3163.5</v>
      </c>
      <c r="R136" s="5">
        <v>2593.5</v>
      </c>
      <c r="S136" s="5">
        <v>2821.5</v>
      </c>
      <c r="T136" s="5">
        <v>3163.5</v>
      </c>
      <c r="U136" s="5">
        <f>ROUND(AVERAGE(F136:T136),1)</f>
        <v>2834.8</v>
      </c>
      <c r="V136" s="5">
        <f>MIN(F136:T136)</f>
        <v>2308.5</v>
      </c>
      <c r="W136" s="5">
        <f>MAX(F136:T136)</f>
        <v>3334.5</v>
      </c>
      <c r="X136" s="12">
        <f>ROUND(STDEV(F136:T136),1)</f>
        <v>302.9</v>
      </c>
      <c r="Y136" s="12">
        <f>ROUND(X136/U136*100,1)</f>
        <v>10.7</v>
      </c>
      <c r="Z136" s="12">
        <f>ROUND((U136-E136)/E136*100,1)</f>
        <v>-0.5</v>
      </c>
      <c r="AA136" s="4">
        <v>0.0</v>
      </c>
      <c r="AB136" s="4">
        <v>1.0</v>
      </c>
      <c r="AC136" s="3" t="s">
        <v>1051</v>
      </c>
    </row>
    <row r="137" spans="8:8" ht="18.75" customHeight="1">
      <c r="A137" s="7" t="s">
        <v>1053</v>
      </c>
      <c r="B137" s="8" t="s">
        <v>1020</v>
      </c>
      <c r="C137" s="8" t="s">
        <v>1054</v>
      </c>
      <c r="D137" s="8" t="s">
        <v>1022</v>
      </c>
      <c r="E137" s="9">
        <v>1580.0</v>
      </c>
      <c r="F137" s="10">
        <v>1674.8</v>
      </c>
      <c r="G137" s="10">
        <v>1406.2</v>
      </c>
      <c r="H137" s="10">
        <v>1817.0</v>
      </c>
      <c r="I137" s="10">
        <v>1390.4</v>
      </c>
      <c r="J137" s="10">
        <v>1248.2</v>
      </c>
      <c r="K137" s="10">
        <v>1659.0</v>
      </c>
      <c r="L137" s="10">
        <v>1532.6</v>
      </c>
      <c r="M137" s="10">
        <v>1327.2</v>
      </c>
      <c r="N137" s="10">
        <v>1817.0</v>
      </c>
      <c r="O137" s="10">
        <v>1690.6</v>
      </c>
      <c r="P137" s="10">
        <v>1453.6</v>
      </c>
      <c r="Q137" s="10">
        <v>1722.2</v>
      </c>
      <c r="R137" s="10">
        <v>1406.2</v>
      </c>
      <c r="S137" s="10">
        <v>1832.8</v>
      </c>
      <c r="T137" s="10">
        <v>1722.2</v>
      </c>
      <c r="U137" s="10">
        <f>ROUND(AVERAGE(F137:T137),1)</f>
        <v>1580.0</v>
      </c>
      <c r="V137" s="10">
        <f>MIN(F137:T137)</f>
        <v>1248.2</v>
      </c>
      <c r="W137" s="10">
        <f>MAX(F137:T137)</f>
        <v>1832.8</v>
      </c>
      <c r="X137" s="13">
        <f>ROUND(STDEV(F137:T137),1)</f>
        <v>195.1</v>
      </c>
      <c r="Y137" s="13">
        <f>ROUND(X137/U137*100,1)</f>
        <v>12.3</v>
      </c>
      <c r="Z137" s="13">
        <f>ROUND((U137-E137)/E137*100,1)</f>
        <v>0.0</v>
      </c>
      <c r="AA137" s="9">
        <v>1.0</v>
      </c>
      <c r="AB137" s="9">
        <v>3.0</v>
      </c>
      <c r="AC137" s="8" t="s">
        <v>1058</v>
      </c>
    </row>
    <row r="138" spans="8:8" ht="18.75" customHeight="1">
      <c r="A138" s="2" t="s">
        <v>1060</v>
      </c>
      <c r="B138" s="3" t="s">
        <v>1061</v>
      </c>
      <c r="C138" s="3" t="s">
        <v>1062</v>
      </c>
      <c r="D138" s="3" t="s">
        <v>840</v>
      </c>
      <c r="E138" s="4">
        <v>2780.0</v>
      </c>
      <c r="F138" s="5">
        <v>2891.2</v>
      </c>
      <c r="G138" s="5">
        <v>2418.6</v>
      </c>
      <c r="H138" s="5">
        <v>3141.4</v>
      </c>
      <c r="I138" s="5">
        <v>2390.8</v>
      </c>
      <c r="J138" s="5">
        <v>2140.6</v>
      </c>
      <c r="K138" s="5">
        <v>2863.4</v>
      </c>
      <c r="L138" s="5">
        <v>2641.0</v>
      </c>
      <c r="M138" s="5">
        <v>2279.6</v>
      </c>
      <c r="N138" s="5">
        <v>3141.4</v>
      </c>
      <c r="O138" s="5">
        <v>2919.0</v>
      </c>
      <c r="P138" s="5">
        <v>3030.2</v>
      </c>
      <c r="Q138" s="5">
        <v>2974.6</v>
      </c>
      <c r="R138" s="5">
        <v>2418.6</v>
      </c>
      <c r="S138" s="5">
        <v>3169.2</v>
      </c>
      <c r="T138" s="5">
        <v>2974.6</v>
      </c>
      <c r="U138" s="5">
        <f>ROUND(AVERAGE(F138:T138),1)</f>
        <v>2759.6</v>
      </c>
      <c r="V138" s="5">
        <f>MIN(F138:T138)</f>
        <v>2140.6</v>
      </c>
      <c r="W138" s="5">
        <f>MAX(F138:T138)</f>
        <v>3169.2</v>
      </c>
      <c r="X138" s="12">
        <f>ROUND(STDEV(F138:T138),1)</f>
        <v>345.9</v>
      </c>
      <c r="Y138" s="12">
        <f>ROUND(X138/U138*100,1)</f>
        <v>12.5</v>
      </c>
      <c r="Z138" s="12">
        <f>ROUND((U138-E138)/E138*100,1)</f>
        <v>-0.7</v>
      </c>
      <c r="AA138" s="4">
        <v>1.0</v>
      </c>
      <c r="AB138" s="4">
        <v>0.0</v>
      </c>
      <c r="AC138" s="3" t="s">
        <v>1033</v>
      </c>
    </row>
    <row r="139" spans="8:8" ht="18.75" customHeight="1">
      <c r="A139" s="7" t="s">
        <v>1066</v>
      </c>
      <c r="B139" s="8" t="s">
        <v>1067</v>
      </c>
      <c r="C139" s="8" t="s">
        <v>1068</v>
      </c>
      <c r="D139" s="8" t="s">
        <v>1067</v>
      </c>
      <c r="E139" s="9">
        <v>2920.0</v>
      </c>
      <c r="F139" s="10">
        <v>2978.4</v>
      </c>
      <c r="G139" s="10">
        <v>2482.0</v>
      </c>
      <c r="H139" s="10">
        <v>3241.2</v>
      </c>
      <c r="I139" s="10">
        <v>2452.8</v>
      </c>
      <c r="J139" s="10">
        <v>2190.0</v>
      </c>
      <c r="K139" s="10">
        <v>2949.2</v>
      </c>
      <c r="L139" s="10">
        <v>2715.6</v>
      </c>
      <c r="M139" s="10">
        <v>2890.8</v>
      </c>
      <c r="N139" s="10">
        <v>3241.2</v>
      </c>
      <c r="O139" s="10">
        <v>3007.6</v>
      </c>
      <c r="P139" s="10">
        <v>3124.4</v>
      </c>
      <c r="Q139" s="10">
        <v>3066.0</v>
      </c>
      <c r="R139" s="10">
        <v>2482.0</v>
      </c>
      <c r="S139" s="10">
        <v>3270.4</v>
      </c>
      <c r="T139" s="10">
        <v>3066.0</v>
      </c>
      <c r="U139" s="10">
        <f>ROUND(AVERAGE(F139:T139),1)</f>
        <v>2877.2</v>
      </c>
      <c r="V139" s="10">
        <f>MIN(F139:T139)</f>
        <v>2190.0</v>
      </c>
      <c r="W139" s="10">
        <f>MAX(F139:T139)</f>
        <v>3270.4</v>
      </c>
      <c r="X139" s="13">
        <f>ROUND(STDEV(F139:T139),1)</f>
        <v>335.5</v>
      </c>
      <c r="Y139" s="13">
        <f>ROUND(X139/U139*100,1)</f>
        <v>11.7</v>
      </c>
      <c r="Z139" s="13">
        <f>ROUND((U139-E139)/E139*100,1)</f>
        <v>-1.5</v>
      </c>
      <c r="AA139" s="9">
        <v>1.0</v>
      </c>
      <c r="AB139" s="9">
        <v>0.0</v>
      </c>
      <c r="AC139" s="8" t="s">
        <v>1071</v>
      </c>
    </row>
    <row r="140" spans="8:8" ht="18.75" customHeight="1">
      <c r="A140" s="2" t="s">
        <v>1073</v>
      </c>
      <c r="B140" s="3" t="s">
        <v>1074</v>
      </c>
      <c r="C140" s="3" t="s">
        <v>1075</v>
      </c>
      <c r="D140" s="3" t="s">
        <v>1022</v>
      </c>
      <c r="E140" s="4">
        <v>3650.0</v>
      </c>
      <c r="F140" s="5">
        <v>3650.0</v>
      </c>
      <c r="G140" s="5">
        <v>3029.5</v>
      </c>
      <c r="H140" s="5">
        <v>3978.5</v>
      </c>
      <c r="I140" s="5">
        <v>2993.0</v>
      </c>
      <c r="J140" s="5">
        <v>3358.0</v>
      </c>
      <c r="K140" s="5">
        <v>3613.5</v>
      </c>
      <c r="L140" s="5">
        <v>3321.5</v>
      </c>
      <c r="M140" s="5">
        <v>3540.5</v>
      </c>
      <c r="N140" s="5">
        <v>3978.5</v>
      </c>
      <c r="O140" s="5">
        <v>3686.5</v>
      </c>
      <c r="P140" s="5">
        <v>3832.5</v>
      </c>
      <c r="Q140" s="5">
        <v>3759.5</v>
      </c>
      <c r="R140" s="5">
        <v>3723.0</v>
      </c>
      <c r="S140" s="5">
        <v>4015.0</v>
      </c>
      <c r="T140" s="5">
        <v>3759.5</v>
      </c>
      <c r="U140" s="5">
        <f>ROUND(AVERAGE(F140:T140),1)</f>
        <v>3615.9</v>
      </c>
      <c r="V140" s="5">
        <f>MIN(F140:T140)</f>
        <v>2993.0</v>
      </c>
      <c r="W140" s="5">
        <f>MAX(F140:T140)</f>
        <v>4015.0</v>
      </c>
      <c r="X140" s="12">
        <f>ROUND(STDEV(F140:T140),1)</f>
        <v>318.3</v>
      </c>
      <c r="Y140" s="12">
        <f>ROUND(X140/U140*100,1)</f>
        <v>8.8</v>
      </c>
      <c r="Z140" s="12">
        <f>ROUND((U140-E140)/E140*100,1)</f>
        <v>-0.9</v>
      </c>
      <c r="AA140" s="4">
        <v>0.0</v>
      </c>
      <c r="AB140" s="4">
        <v>0.0</v>
      </c>
      <c r="AC140" s="3" t="s">
        <v>1078</v>
      </c>
    </row>
    <row r="141" spans="8:8" ht="18.75" customHeight="1">
      <c r="A141" s="7" t="s">
        <v>1080</v>
      </c>
      <c r="B141" s="8" t="s">
        <v>1081</v>
      </c>
      <c r="C141" s="8" t="s">
        <v>1082</v>
      </c>
      <c r="D141" s="8" t="s">
        <v>1083</v>
      </c>
      <c r="E141" s="9">
        <v>1650.0</v>
      </c>
      <c r="F141" s="10">
        <v>1617.0</v>
      </c>
      <c r="G141" s="10">
        <v>1650.0</v>
      </c>
      <c r="H141" s="10">
        <v>1765.5</v>
      </c>
      <c r="I141" s="10">
        <v>1320.0</v>
      </c>
      <c r="J141" s="10">
        <v>1485.0</v>
      </c>
      <c r="K141" s="10">
        <v>1600.5</v>
      </c>
      <c r="L141" s="10">
        <v>1468.5</v>
      </c>
      <c r="M141" s="10">
        <v>1567.5</v>
      </c>
      <c r="N141" s="10">
        <v>1765.5</v>
      </c>
      <c r="O141" s="10">
        <v>1947.0</v>
      </c>
      <c r="P141" s="10">
        <v>1699.5</v>
      </c>
      <c r="Q141" s="10">
        <v>1666.5</v>
      </c>
      <c r="R141" s="10">
        <v>1650.0</v>
      </c>
      <c r="S141" s="10">
        <v>1782.0</v>
      </c>
      <c r="T141" s="10">
        <v>1666.5</v>
      </c>
      <c r="U141" s="10">
        <f>ROUND(AVERAGE(F141:T141),1)</f>
        <v>1643.4</v>
      </c>
      <c r="V141" s="10">
        <f>MIN(F141:T141)</f>
        <v>1320.0</v>
      </c>
      <c r="W141" s="10">
        <f>MAX(F141:T141)</f>
        <v>1947.0</v>
      </c>
      <c r="X141" s="13">
        <f>ROUND(STDEV(F141:T141),1)</f>
        <v>149.8</v>
      </c>
      <c r="Y141" s="13">
        <f>ROUND(X141/U141*100,1)</f>
        <v>9.1</v>
      </c>
      <c r="Z141" s="13">
        <f>ROUND((U141-E141)/E141*100,1)</f>
        <v>-0.4</v>
      </c>
      <c r="AA141" s="9">
        <v>0.0</v>
      </c>
      <c r="AB141" s="9">
        <v>1.0</v>
      </c>
      <c r="AC141" s="8" t="s">
        <v>1086</v>
      </c>
    </row>
    <row r="142" spans="8:8" ht="18.75" customHeight="1">
      <c r="A142" s="2" t="s">
        <v>1088</v>
      </c>
      <c r="B142" s="3" t="s">
        <v>1089</v>
      </c>
      <c r="C142" s="3" t="s">
        <v>1090</v>
      </c>
      <c r="D142" s="3" t="s">
        <v>1083</v>
      </c>
      <c r="E142" s="4">
        <v>1890.0</v>
      </c>
      <c r="F142" s="5">
        <v>1814.4</v>
      </c>
      <c r="G142" s="5">
        <v>1852.2</v>
      </c>
      <c r="H142" s="5">
        <v>1984.5</v>
      </c>
      <c r="I142" s="5">
        <v>1474.2</v>
      </c>
      <c r="J142" s="5">
        <v>1663.2</v>
      </c>
      <c r="K142" s="5">
        <v>1795.5</v>
      </c>
      <c r="L142" s="5">
        <v>2003.4</v>
      </c>
      <c r="M142" s="5">
        <v>1757.7</v>
      </c>
      <c r="N142" s="5">
        <v>1984.5</v>
      </c>
      <c r="O142" s="5">
        <v>2192.4</v>
      </c>
      <c r="P142" s="5">
        <v>1908.9</v>
      </c>
      <c r="Q142" s="5">
        <v>1871.1</v>
      </c>
      <c r="R142" s="5">
        <v>1852.2</v>
      </c>
      <c r="S142" s="5">
        <v>2003.4</v>
      </c>
      <c r="T142" s="5">
        <v>1871.1</v>
      </c>
      <c r="U142" s="5">
        <f>ROUND(AVERAGE(F142:T142),1)</f>
        <v>1868.6</v>
      </c>
      <c r="V142" s="5">
        <f>MIN(F142:T142)</f>
        <v>1474.2</v>
      </c>
      <c r="W142" s="5">
        <f>MAX(F142:T142)</f>
        <v>2192.4</v>
      </c>
      <c r="X142" s="12">
        <f>ROUND(STDEV(F142:T142),1)</f>
        <v>166.6</v>
      </c>
      <c r="Y142" s="12">
        <f>ROUND(X142/U142*100,1)</f>
        <v>8.9</v>
      </c>
      <c r="Z142" s="12">
        <f>ROUND((U142-E142)/E142*100,1)</f>
        <v>-1.1</v>
      </c>
      <c r="AA142" s="4">
        <v>1.0</v>
      </c>
      <c r="AB142" s="4">
        <v>1.0</v>
      </c>
      <c r="AC142" s="3" t="s">
        <v>1086</v>
      </c>
    </row>
    <row r="143" spans="8:8" ht="18.75" customHeight="1">
      <c r="A143" s="7" t="s">
        <v>1094</v>
      </c>
      <c r="B143" s="8" t="s">
        <v>1095</v>
      </c>
      <c r="C143" s="8" t="s">
        <v>1096</v>
      </c>
      <c r="D143" s="8" t="s">
        <v>1083</v>
      </c>
      <c r="E143" s="9">
        <v>2480.0</v>
      </c>
      <c r="F143" s="10">
        <v>2331.2</v>
      </c>
      <c r="G143" s="10">
        <v>2380.8</v>
      </c>
      <c r="H143" s="10">
        <v>2554.4</v>
      </c>
      <c r="I143" s="10">
        <v>2356.0</v>
      </c>
      <c r="J143" s="10">
        <v>2132.8</v>
      </c>
      <c r="K143" s="10">
        <v>2306.4</v>
      </c>
      <c r="L143" s="10">
        <v>2579.2</v>
      </c>
      <c r="M143" s="10">
        <v>2256.8</v>
      </c>
      <c r="N143" s="10">
        <v>2554.4</v>
      </c>
      <c r="O143" s="10">
        <v>2827.2</v>
      </c>
      <c r="P143" s="10">
        <v>2455.2</v>
      </c>
      <c r="Q143" s="10">
        <v>2405.6</v>
      </c>
      <c r="R143" s="10">
        <v>2380.8</v>
      </c>
      <c r="S143" s="10">
        <v>2579.2</v>
      </c>
      <c r="T143" s="10">
        <v>2876.8</v>
      </c>
      <c r="U143" s="10">
        <f>ROUND(AVERAGE(F143:T143),1)</f>
        <v>2465.1</v>
      </c>
      <c r="V143" s="10">
        <f>MIN(F143:T143)</f>
        <v>2132.8</v>
      </c>
      <c r="W143" s="10">
        <f>MAX(F143:T143)</f>
        <v>2876.8</v>
      </c>
      <c r="X143" s="13">
        <f>ROUND(STDEV(F143:T143),1)</f>
        <v>201.7</v>
      </c>
      <c r="Y143" s="13">
        <f>ROUND(X143/U143*100,1)</f>
        <v>8.2</v>
      </c>
      <c r="Z143" s="13">
        <f>ROUND((U143-E143)/E143*100,1)</f>
        <v>-0.6</v>
      </c>
      <c r="AA143" s="9">
        <v>0.0</v>
      </c>
      <c r="AB143" s="9">
        <v>1.0</v>
      </c>
      <c r="AC143" s="8" t="s">
        <v>1086</v>
      </c>
    </row>
    <row r="144" spans="8:8" ht="18.75" customHeight="1">
      <c r="A144" s="2" t="s">
        <v>1104</v>
      </c>
      <c r="B144" s="3" t="s">
        <v>1105</v>
      </c>
      <c r="C144" s="3" t="s">
        <v>1106</v>
      </c>
      <c r="D144" s="3" t="s">
        <v>1083</v>
      </c>
      <c r="E144" s="4">
        <v>2320.0</v>
      </c>
      <c r="F144" s="5">
        <v>2575.2</v>
      </c>
      <c r="G144" s="5">
        <v>2180.8</v>
      </c>
      <c r="H144" s="5">
        <v>2343.2</v>
      </c>
      <c r="I144" s="5">
        <v>2157.6</v>
      </c>
      <c r="J144" s="5">
        <v>1948.8</v>
      </c>
      <c r="K144" s="5">
        <v>2111.2</v>
      </c>
      <c r="L144" s="5">
        <v>2366.4</v>
      </c>
      <c r="M144" s="5">
        <v>2064.8</v>
      </c>
      <c r="N144" s="5">
        <v>2343.2</v>
      </c>
      <c r="O144" s="5">
        <v>2598.4</v>
      </c>
      <c r="P144" s="5">
        <v>2250.4</v>
      </c>
      <c r="Q144" s="5">
        <v>2644.8</v>
      </c>
      <c r="R144" s="5">
        <v>2180.8</v>
      </c>
      <c r="S144" s="5">
        <v>2366.4</v>
      </c>
      <c r="T144" s="5">
        <v>2644.8</v>
      </c>
      <c r="U144" s="5">
        <f>ROUND(AVERAGE(F144:T144),1)</f>
        <v>2318.5</v>
      </c>
      <c r="V144" s="5">
        <f>MIN(F144:T144)</f>
        <v>1948.8</v>
      </c>
      <c r="W144" s="5">
        <f>MAX(F144:T144)</f>
        <v>2644.8</v>
      </c>
      <c r="X144" s="12">
        <f>ROUND(STDEV(F144:T144),1)</f>
        <v>219.7</v>
      </c>
      <c r="Y144" s="12">
        <f>ROUND(X144/U144*100,1)</f>
        <v>9.5</v>
      </c>
      <c r="Z144" s="12">
        <f>ROUND((U144-E144)/E144*100,1)</f>
        <v>-0.1</v>
      </c>
      <c r="AA144" s="4">
        <v>0.0</v>
      </c>
      <c r="AB144" s="4">
        <v>0.0</v>
      </c>
      <c r="AC144" s="3" t="s">
        <v>1109</v>
      </c>
    </row>
    <row r="145" spans="8:8" ht="18.75" customHeight="1">
      <c r="A145" s="7" t="s">
        <v>1111</v>
      </c>
      <c r="B145" s="8" t="s">
        <v>1112</v>
      </c>
      <c r="C145" s="8" t="s">
        <v>1113</v>
      </c>
      <c r="D145" s="8" t="s">
        <v>394</v>
      </c>
      <c r="E145" s="9">
        <v>3080.0</v>
      </c>
      <c r="F145" s="10">
        <v>3357.2</v>
      </c>
      <c r="G145" s="10">
        <v>2833.6</v>
      </c>
      <c r="H145" s="10">
        <v>3049.2</v>
      </c>
      <c r="I145" s="10">
        <v>2802.8</v>
      </c>
      <c r="J145" s="10">
        <v>2525.6</v>
      </c>
      <c r="K145" s="10">
        <v>2741.2</v>
      </c>
      <c r="L145" s="10">
        <v>3080.0</v>
      </c>
      <c r="M145" s="10">
        <v>2679.6</v>
      </c>
      <c r="N145" s="10">
        <v>3634.4</v>
      </c>
      <c r="O145" s="10">
        <v>3388.0</v>
      </c>
      <c r="P145" s="10">
        <v>2926.0</v>
      </c>
      <c r="Q145" s="10">
        <v>3449.6</v>
      </c>
      <c r="R145" s="10">
        <v>2833.6</v>
      </c>
      <c r="S145" s="10">
        <v>3080.0</v>
      </c>
      <c r="T145" s="10">
        <v>3449.6</v>
      </c>
      <c r="U145" s="10">
        <f>ROUND(AVERAGE(F145:T145),1)</f>
        <v>3055.4</v>
      </c>
      <c r="V145" s="10">
        <f>MIN(F145:T145)</f>
        <v>2525.6</v>
      </c>
      <c r="W145" s="10">
        <f>MAX(F145:T145)</f>
        <v>3634.4</v>
      </c>
      <c r="X145" s="13">
        <f>ROUND(STDEV(F145:T145),1)</f>
        <v>332.6</v>
      </c>
      <c r="Y145" s="13">
        <f>ROUND(X145/U145*100,1)</f>
        <v>10.9</v>
      </c>
      <c r="Z145" s="13">
        <f>ROUND((U145-E145)/E145*100,1)</f>
        <v>-0.8</v>
      </c>
      <c r="AA145" s="9">
        <v>0.0</v>
      </c>
      <c r="AB145" s="9">
        <v>1.0</v>
      </c>
      <c r="AC145" s="8" t="s">
        <v>397</v>
      </c>
    </row>
    <row r="146" spans="8:8" ht="18.75" customHeight="1">
      <c r="A146" s="2" t="s">
        <v>1116</v>
      </c>
      <c r="B146" s="3" t="s">
        <v>1117</v>
      </c>
      <c r="C146" s="3" t="s">
        <v>1118</v>
      </c>
      <c r="D146" s="3" t="s">
        <v>1120</v>
      </c>
      <c r="E146" s="4">
        <v>2980.0</v>
      </c>
      <c r="F146" s="5">
        <v>3188.6</v>
      </c>
      <c r="G146" s="5">
        <v>2682.0</v>
      </c>
      <c r="H146" s="5">
        <v>2890.6</v>
      </c>
      <c r="I146" s="5">
        <v>2652.2</v>
      </c>
      <c r="J146" s="5">
        <v>2384.0</v>
      </c>
      <c r="K146" s="5">
        <v>3158.8</v>
      </c>
      <c r="L146" s="5">
        <v>2920.4</v>
      </c>
      <c r="M146" s="5">
        <v>2533.0</v>
      </c>
      <c r="N146" s="5">
        <v>3456.8</v>
      </c>
      <c r="O146" s="5">
        <v>3218.4</v>
      </c>
      <c r="P146" s="5">
        <v>2771.4</v>
      </c>
      <c r="Q146" s="5">
        <v>3278.0</v>
      </c>
      <c r="R146" s="5">
        <v>2682.0</v>
      </c>
      <c r="S146" s="5">
        <v>3486.6</v>
      </c>
      <c r="T146" s="5">
        <v>3278.0</v>
      </c>
      <c r="U146" s="5">
        <f>ROUND(AVERAGE(F146:T146),1)</f>
        <v>2972.1</v>
      </c>
      <c r="V146" s="5">
        <f>MIN(F146:T146)</f>
        <v>2384.0</v>
      </c>
      <c r="W146" s="5">
        <f>MAX(F146:T146)</f>
        <v>3486.6</v>
      </c>
      <c r="X146" s="12">
        <f>ROUND(STDEV(F146:T146),1)</f>
        <v>347.2</v>
      </c>
      <c r="Y146" s="12">
        <f>ROUND(X146/U146*100,1)</f>
        <v>11.7</v>
      </c>
      <c r="Z146" s="12">
        <f>ROUND((U146-E146)/E146*100,1)</f>
        <v>-0.3</v>
      </c>
      <c r="AA146" s="4">
        <v>0.0</v>
      </c>
      <c r="AB146" s="4">
        <v>2.0</v>
      </c>
      <c r="AC146" s="3" t="s">
        <v>1123</v>
      </c>
    </row>
    <row r="147" spans="8:8" ht="18.75" customHeight="1">
      <c r="A147" s="7" t="s">
        <v>1126</v>
      </c>
      <c r="B147" s="8" t="s">
        <v>1127</v>
      </c>
      <c r="C147" s="8" t="s">
        <v>1128</v>
      </c>
      <c r="D147" s="8" t="s">
        <v>1127</v>
      </c>
      <c r="E147" s="9">
        <v>1615.0</v>
      </c>
      <c r="F147" s="10">
        <v>1695.8</v>
      </c>
      <c r="G147" s="10">
        <v>1421.2</v>
      </c>
      <c r="H147" s="10">
        <v>1841.1</v>
      </c>
      <c r="I147" s="10">
        <v>1405.0</v>
      </c>
      <c r="J147" s="10">
        <v>1259.7</v>
      </c>
      <c r="K147" s="10">
        <v>1679.6</v>
      </c>
      <c r="L147" s="10">
        <v>1550.4</v>
      </c>
      <c r="M147" s="10">
        <v>1340.5</v>
      </c>
      <c r="N147" s="10">
        <v>1841.1</v>
      </c>
      <c r="O147" s="10">
        <v>1711.9</v>
      </c>
      <c r="P147" s="10">
        <v>1776.5</v>
      </c>
      <c r="Q147" s="10">
        <v>1744.2</v>
      </c>
      <c r="R147" s="10">
        <v>1421.2</v>
      </c>
      <c r="S147" s="10">
        <v>1857.3</v>
      </c>
      <c r="T147" s="10">
        <v>1744.2</v>
      </c>
      <c r="U147" s="10">
        <f>ROUND(AVERAGE(F147:T147),1)</f>
        <v>1619.3</v>
      </c>
      <c r="V147" s="10">
        <f>MIN(F147:T147)</f>
        <v>1259.7</v>
      </c>
      <c r="W147" s="10">
        <f>MAX(F147:T147)</f>
        <v>1857.3</v>
      </c>
      <c r="X147" s="13">
        <f>ROUND(STDEV(F147:T147),1)</f>
        <v>200.9</v>
      </c>
      <c r="Y147" s="13">
        <f>ROUND(X147/U147*100,1)</f>
        <v>12.4</v>
      </c>
      <c r="Z147" s="13">
        <f>ROUND((U147-E147)/E147*100,1)</f>
        <v>0.3</v>
      </c>
      <c r="AA147" s="9">
        <v>1.0</v>
      </c>
      <c r="AB147" s="9">
        <v>1.0</v>
      </c>
      <c r="AC147" s="8" t="s">
        <v>377</v>
      </c>
    </row>
    <row r="148" spans="8:8" ht="18.75" customHeight="1">
      <c r="A148" s="2" t="s">
        <v>1133</v>
      </c>
      <c r="B148" s="3" t="s">
        <v>1134</v>
      </c>
      <c r="C148" s="3" t="s">
        <v>1135</v>
      </c>
      <c r="D148" s="3" t="s">
        <v>213</v>
      </c>
      <c r="E148" s="4">
        <v>1285.0</v>
      </c>
      <c r="F148" s="5">
        <v>1323.5</v>
      </c>
      <c r="G148" s="5">
        <v>1105.1</v>
      </c>
      <c r="H148" s="5">
        <v>1439.2</v>
      </c>
      <c r="I148" s="5">
        <v>1092.2</v>
      </c>
      <c r="J148" s="5">
        <v>976.6</v>
      </c>
      <c r="K148" s="5">
        <v>1310.7</v>
      </c>
      <c r="L148" s="5">
        <v>1207.9</v>
      </c>
      <c r="M148" s="5">
        <v>1285.0</v>
      </c>
      <c r="N148" s="5">
        <v>1439.2</v>
      </c>
      <c r="O148" s="5">
        <v>1336.4</v>
      </c>
      <c r="P148" s="5">
        <v>1387.8</v>
      </c>
      <c r="Q148" s="5">
        <v>1362.1</v>
      </c>
      <c r="R148" s="5">
        <v>1105.1</v>
      </c>
      <c r="S148" s="5">
        <v>1452.1</v>
      </c>
      <c r="T148" s="5">
        <v>1362.1</v>
      </c>
      <c r="U148" s="5">
        <f>ROUND(AVERAGE(F148:T148),1)</f>
        <v>1279.0</v>
      </c>
      <c r="V148" s="5">
        <f>MIN(F148:T148)</f>
        <v>976.6</v>
      </c>
      <c r="W148" s="5">
        <f>MAX(F148:T148)</f>
        <v>1452.1</v>
      </c>
      <c r="X148" s="12">
        <f>ROUND(STDEV(F148:T148),1)</f>
        <v>147.6</v>
      </c>
      <c r="Y148" s="12">
        <f>ROUND(X148/U148*100,1)</f>
        <v>11.5</v>
      </c>
      <c r="Z148" s="12">
        <f>ROUND((U148-E148)/E148*100,1)</f>
        <v>-0.5</v>
      </c>
      <c r="AA148" s="4">
        <v>1.0</v>
      </c>
      <c r="AB148" s="4">
        <v>0.0</v>
      </c>
      <c r="AC148" s="3" t="s">
        <v>111</v>
      </c>
    </row>
    <row r="149" spans="8:8" ht="18.75" customHeight="1">
      <c r="A149" s="7" t="s">
        <v>1139</v>
      </c>
      <c r="B149" s="8" t="s">
        <v>39</v>
      </c>
      <c r="C149" s="8" t="s">
        <v>1140</v>
      </c>
      <c r="D149" s="8" t="s">
        <v>42</v>
      </c>
      <c r="E149" s="9">
        <v>1145.0</v>
      </c>
      <c r="F149" s="10">
        <v>1156.5</v>
      </c>
      <c r="G149" s="10">
        <v>961.8</v>
      </c>
      <c r="H149" s="10">
        <v>1259.5</v>
      </c>
      <c r="I149" s="10">
        <v>950.3</v>
      </c>
      <c r="J149" s="10">
        <v>1064.8</v>
      </c>
      <c r="K149" s="10">
        <v>1145.0</v>
      </c>
      <c r="L149" s="10">
        <v>1053.4</v>
      </c>
      <c r="M149" s="10">
        <v>1122.1</v>
      </c>
      <c r="N149" s="10">
        <v>1259.5</v>
      </c>
      <c r="O149" s="10">
        <v>1167.9</v>
      </c>
      <c r="P149" s="10">
        <v>1213.7</v>
      </c>
      <c r="Q149" s="10">
        <v>1190.8</v>
      </c>
      <c r="R149" s="10">
        <v>961.8</v>
      </c>
      <c r="S149" s="10">
        <v>1271.0</v>
      </c>
      <c r="T149" s="10">
        <v>1190.8</v>
      </c>
      <c r="U149" s="10">
        <f>ROUND(AVERAGE(F149:T149),1)</f>
        <v>1131.3</v>
      </c>
      <c r="V149" s="10">
        <f>MIN(F149:T149)</f>
        <v>950.3</v>
      </c>
      <c r="W149" s="10">
        <f>MAX(F149:T149)</f>
        <v>1271.0</v>
      </c>
      <c r="X149" s="13">
        <f>ROUND(STDEV(F149:T149),1)</f>
        <v>109.9</v>
      </c>
      <c r="Y149" s="13">
        <f>ROUND(X149/U149*100,1)</f>
        <v>9.7</v>
      </c>
      <c r="Z149" s="13">
        <f>ROUND((U149-E149)/E149*100,1)</f>
        <v>-1.2</v>
      </c>
      <c r="AA149" s="9">
        <v>0.0</v>
      </c>
      <c r="AB149" s="9">
        <v>0.0</v>
      </c>
      <c r="AC149" s="8" t="s">
        <v>46</v>
      </c>
    </row>
    <row r="150" spans="8:8" ht="18.75" customHeight="1">
      <c r="A150" s="2" t="s">
        <v>1144</v>
      </c>
      <c r="B150" s="3" t="s">
        <v>39</v>
      </c>
      <c r="C150" s="3" t="s">
        <v>1145</v>
      </c>
      <c r="D150" s="3" t="s">
        <v>117</v>
      </c>
      <c r="E150" s="4">
        <v>625.0</v>
      </c>
      <c r="F150" s="5">
        <v>618.8</v>
      </c>
      <c r="G150" s="5">
        <v>631.2</v>
      </c>
      <c r="H150" s="5">
        <v>675.0</v>
      </c>
      <c r="I150" s="5">
        <v>506.2</v>
      </c>
      <c r="J150" s="5">
        <v>568.8</v>
      </c>
      <c r="K150" s="5">
        <v>612.5</v>
      </c>
      <c r="L150" s="5">
        <v>562.5</v>
      </c>
      <c r="M150" s="5">
        <v>600.0</v>
      </c>
      <c r="N150" s="5">
        <v>675.0</v>
      </c>
      <c r="O150" s="5">
        <v>625.0</v>
      </c>
      <c r="P150" s="5">
        <v>650.0</v>
      </c>
      <c r="Q150" s="5">
        <v>637.5</v>
      </c>
      <c r="R150" s="5">
        <v>631.2</v>
      </c>
      <c r="S150" s="5">
        <v>681.2</v>
      </c>
      <c r="T150" s="5">
        <v>637.5</v>
      </c>
      <c r="U150" s="5">
        <f>ROUND(AVERAGE(F150:T150),1)</f>
        <v>620.8</v>
      </c>
      <c r="V150" s="5">
        <f>MIN(F150:T150)</f>
        <v>506.2</v>
      </c>
      <c r="W150" s="5">
        <f>MAX(F150:T150)</f>
        <v>681.2</v>
      </c>
      <c r="X150" s="12">
        <f>ROUND(STDEV(F150:T150),1)</f>
        <v>47.0</v>
      </c>
      <c r="Y150" s="12">
        <f>ROUND(X150/U150*100,1)</f>
        <v>7.6</v>
      </c>
      <c r="Z150" s="12">
        <f>ROUND((U150-E150)/E150*100,1)</f>
        <v>-0.7</v>
      </c>
      <c r="AA150" s="4">
        <v>0.0</v>
      </c>
      <c r="AB150" s="4">
        <v>0.0</v>
      </c>
      <c r="AC150" s="3" t="s">
        <v>1148</v>
      </c>
    </row>
    <row r="151" spans="8:8" ht="18.75" customHeight="1">
      <c r="A151" s="7" t="s">
        <v>1150</v>
      </c>
      <c r="B151" s="8" t="s">
        <v>39</v>
      </c>
      <c r="C151" s="8" t="s">
        <v>1151</v>
      </c>
      <c r="D151" s="8" t="s">
        <v>42</v>
      </c>
      <c r="E151" s="9">
        <v>1065.0</v>
      </c>
      <c r="F151" s="10">
        <v>1033.0</v>
      </c>
      <c r="G151" s="10">
        <v>1054.3</v>
      </c>
      <c r="H151" s="10">
        <v>1128.9</v>
      </c>
      <c r="I151" s="10">
        <v>841.4</v>
      </c>
      <c r="J151" s="10">
        <v>947.9</v>
      </c>
      <c r="K151" s="10">
        <v>1022.4</v>
      </c>
      <c r="L151" s="10">
        <v>937.2</v>
      </c>
      <c r="M151" s="10">
        <v>1001.1</v>
      </c>
      <c r="N151" s="10">
        <v>1128.9</v>
      </c>
      <c r="O151" s="10">
        <v>1246.1</v>
      </c>
      <c r="P151" s="10">
        <v>1086.3</v>
      </c>
      <c r="Q151" s="10">
        <v>1065.0</v>
      </c>
      <c r="R151" s="10">
        <v>1054.3</v>
      </c>
      <c r="S151" s="10">
        <v>1139.5</v>
      </c>
      <c r="T151" s="10">
        <v>1065.0</v>
      </c>
      <c r="U151" s="10">
        <f>ROUND(AVERAGE(F151:T151),1)</f>
        <v>1050.1</v>
      </c>
      <c r="V151" s="10">
        <f>MIN(F151:T151)</f>
        <v>841.4</v>
      </c>
      <c r="W151" s="10">
        <f>MAX(F151:T151)</f>
        <v>1246.1</v>
      </c>
      <c r="X151" s="13">
        <f>ROUND(STDEV(F151:T151),1)</f>
        <v>96.7</v>
      </c>
      <c r="Y151" s="13">
        <f>ROUND(X151/U151*100,1)</f>
        <v>9.2</v>
      </c>
      <c r="Z151" s="13">
        <f>ROUND((U151-E151)/E151*100,1)</f>
        <v>-1.4</v>
      </c>
      <c r="AA151" s="9">
        <v>1.0</v>
      </c>
      <c r="AB151" s="9">
        <v>1.0</v>
      </c>
      <c r="AC151" s="8" t="s">
        <v>1154</v>
      </c>
    </row>
  </sheetData>
  <pageMargins left="0.75" right="0.75" top="1.0" bottom="1.0" header="0.511811023622047" footer="0.511811023622047"/>
  <pageSetup paperSize="1" orientation="landscape"/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A151"/>
  <sheetViews>
    <sheetView workbookViewId="0">
      <selection activeCell="A1" sqref="A1"/>
    </sheetView>
  </sheetViews>
  <sheetFormatPr defaultRowHeight="15.0" zeroHeight="1"/>
  <cols>
    <col min="1" max="1" customWidth="1" width="12.0" style="0"/>
    <col min="2" max="2" customWidth="1" width="20.0" style="0"/>
    <col min="3" max="5" customWidth="1" width="38.0" style="0"/>
    <col min="6" max="6" customWidth="1" width="21.0" style="0"/>
    <col min="7" max="7" customWidth="1" width="35.0" style="0"/>
    <col min="8" max="8" customWidth="1" width="36.0" style="0"/>
    <col min="9" max="9" customWidth="1" width="30.0" style="0"/>
    <col min="10" max="10" customWidth="1" width="38.0" style="0"/>
    <col min="11" max="11" customWidth="1" width="25.0" style="0"/>
    <col min="12" max="12" customWidth="1" width="29.0" style="0"/>
    <col min="13" max="13" customWidth="1" width="30.0" style="0"/>
    <col min="14" max="14" customWidth="1" width="31.0" style="0"/>
    <col min="15" max="15" customWidth="1" width="29.0" style="0"/>
    <col min="16" max="16" customWidth="1" width="37.0" style="0"/>
    <col min="17" max="17" customWidth="1" width="29.0" style="0"/>
    <col min="18" max="18" customWidth="1" width="33.0" style="0"/>
    <col min="19" max="19" customWidth="1" width="27.0" style="0"/>
    <col min="20" max="20" customWidth="1" width="35.0" style="0"/>
    <col min="21" max="21" customWidth="1" width="31.0" style="0"/>
    <col min="22" max="22" customWidth="1" width="29.0" style="0"/>
    <col min="23" max="23" customWidth="1" width="37.0" style="0"/>
    <col min="24" max="24" customWidth="1" width="38.0" style="0"/>
    <col min="25" max="25" customWidth="1" width="28.0" style="0"/>
    <col min="26" max="26" customWidth="1" width="38.0" style="0"/>
  </cols>
  <sheetData>
    <row r="1" spans="8:8" ht="24.75" customHeight="1">
      <c r="A1" s="1" t="s">
        <v>0</v>
      </c>
      <c r="B1" s="1" t="s">
        <v>1</v>
      </c>
      <c r="C1" s="1" t="s">
        <v>2</v>
      </c>
      <c r="D1" s="1" t="s">
        <v>6</v>
      </c>
      <c r="E1" s="1" t="s">
        <v>19</v>
      </c>
      <c r="F1" s="1" t="s">
        <v>23</v>
      </c>
      <c r="G1" s="1" t="s">
        <v>1180</v>
      </c>
      <c r="H1" s="1" t="s">
        <v>1181</v>
      </c>
      <c r="I1" s="1" t="s">
        <v>1182</v>
      </c>
      <c r="J1" s="1" t="s">
        <v>1183</v>
      </c>
      <c r="K1" s="1" t="s">
        <v>1184</v>
      </c>
      <c r="L1" s="1" t="s">
        <v>1185</v>
      </c>
      <c r="M1" s="1" t="s">
        <v>1186</v>
      </c>
      <c r="N1" s="1" t="s">
        <v>1187</v>
      </c>
      <c r="O1" s="1" t="s">
        <v>1188</v>
      </c>
      <c r="P1" s="1" t="s">
        <v>1189</v>
      </c>
      <c r="Q1" s="1" t="s">
        <v>1190</v>
      </c>
      <c r="R1" s="1" t="s">
        <v>1191</v>
      </c>
      <c r="S1" s="1" t="s">
        <v>1192</v>
      </c>
      <c r="T1" s="1" t="s">
        <v>1193</v>
      </c>
      <c r="U1" s="1" t="s">
        <v>1194</v>
      </c>
      <c r="V1" s="1" t="s">
        <v>1195</v>
      </c>
      <c r="W1" s="1" t="s">
        <v>1196</v>
      </c>
      <c r="X1" s="1" t="s">
        <v>30</v>
      </c>
      <c r="Y1" s="1" t="s">
        <v>1197</v>
      </c>
      <c r="Z1" s="1" t="s">
        <v>1198</v>
      </c>
    </row>
    <row r="2" spans="8:8" ht="18.75" customHeight="1">
      <c r="A2" s="2" t="s">
        <v>38</v>
      </c>
      <c r="B2" s="3" t="s">
        <v>39</v>
      </c>
      <c r="C2" s="3" t="s">
        <v>40</v>
      </c>
      <c r="D2" s="3" t="s">
        <v>44</v>
      </c>
      <c r="E2" s="3" t="s">
        <v>49</v>
      </c>
      <c r="F2" s="6">
        <v>6.5</v>
      </c>
      <c r="G2" s="6">
        <v>8.4</v>
      </c>
      <c r="H2" s="6">
        <v>3.8</v>
      </c>
      <c r="I2" s="6">
        <f>G2-H2</f>
        <v>4.6000000000000005</v>
      </c>
      <c r="J2" s="6">
        <v>6.1</v>
      </c>
      <c r="K2" s="5">
        <v>299.0</v>
      </c>
      <c r="L2" s="5">
        <v>65.8</v>
      </c>
      <c r="M2" s="5">
        <f>K2+L2</f>
        <v>364.8</v>
      </c>
      <c r="N2" s="5">
        <v>488.0</v>
      </c>
      <c r="O2" s="5">
        <v>98.5</v>
      </c>
      <c r="P2" s="5">
        <f>N2+O2</f>
        <v>586.5</v>
      </c>
      <c r="Q2" s="5">
        <v>195.7</v>
      </c>
      <c r="R2" s="5">
        <v>60.8</v>
      </c>
      <c r="S2" s="5">
        <v>164.2</v>
      </c>
      <c r="T2" s="5">
        <f>Q2+R2+S2</f>
        <v>420.7</v>
      </c>
      <c r="U2" s="5">
        <v>76.1</v>
      </c>
      <c r="V2" s="5">
        <v>65.7</v>
      </c>
      <c r="W2" s="5">
        <f>U2+V2</f>
        <v>141.8</v>
      </c>
      <c r="X2" s="5">
        <f>P2+T2+W2</f>
        <v>1149.0</v>
      </c>
      <c r="Y2" s="3" t="s">
        <v>50</v>
      </c>
      <c r="Z2" s="3" t="s">
        <v>1199</v>
      </c>
    </row>
    <row r="3" spans="8:8" ht="18.75" customHeight="1">
      <c r="A3" s="7" t="s">
        <v>55</v>
      </c>
      <c r="B3" s="8" t="s">
        <v>39</v>
      </c>
      <c r="C3" s="8" t="s">
        <v>56</v>
      </c>
      <c r="D3" s="8" t="s">
        <v>58</v>
      </c>
      <c r="E3" s="8" t="s">
        <v>60</v>
      </c>
      <c r="F3" s="11">
        <v>5.5</v>
      </c>
      <c r="G3" s="11">
        <v>9.2</v>
      </c>
      <c r="H3" s="11">
        <v>4.5</v>
      </c>
      <c r="I3" s="11">
        <f>G3-H3</f>
        <v>4.699999999999999</v>
      </c>
      <c r="J3" s="11">
        <v>6.85</v>
      </c>
      <c r="K3" s="10">
        <v>258.5</v>
      </c>
      <c r="L3" s="10">
        <v>56.9</v>
      </c>
      <c r="M3" s="10">
        <f>K3+L3</f>
        <v>315.4</v>
      </c>
      <c r="N3" s="10">
        <v>484.8</v>
      </c>
      <c r="O3" s="10">
        <v>85.2</v>
      </c>
      <c r="P3" s="10">
        <f>N3+O3</f>
        <v>570.0</v>
      </c>
      <c r="Q3" s="10">
        <v>217.3</v>
      </c>
      <c r="R3" s="10">
        <v>63.0</v>
      </c>
      <c r="S3" s="10">
        <v>141.9</v>
      </c>
      <c r="T3" s="10">
        <f>Q3+R3+S3</f>
        <v>422.20000000000005</v>
      </c>
      <c r="U3" s="10">
        <v>77.9</v>
      </c>
      <c r="V3" s="10">
        <v>56.8</v>
      </c>
      <c r="W3" s="10">
        <f>U3+V3</f>
        <v>134.7</v>
      </c>
      <c r="X3" s="10">
        <f>P3+T3+W3</f>
        <v>1126.9</v>
      </c>
      <c r="Y3" s="8" t="s">
        <v>50</v>
      </c>
      <c r="Z3" s="8" t="s">
        <v>1199</v>
      </c>
    </row>
    <row r="4" spans="8:8" ht="18.75" customHeight="1">
      <c r="A4" s="2" t="s">
        <v>65</v>
      </c>
      <c r="B4" s="3" t="s">
        <v>39</v>
      </c>
      <c r="C4" s="3" t="s">
        <v>66</v>
      </c>
      <c r="D4" s="3" t="s">
        <v>68</v>
      </c>
      <c r="E4" s="3" t="s">
        <v>72</v>
      </c>
      <c r="F4" s="6">
        <v>14.0</v>
      </c>
      <c r="G4" s="6">
        <v>4.5</v>
      </c>
      <c r="H4" s="6">
        <v>1.8</v>
      </c>
      <c r="I4" s="6">
        <f>G4-H4</f>
        <v>2.7</v>
      </c>
      <c r="J4" s="6">
        <v>3.15</v>
      </c>
      <c r="K4" s="5">
        <v>378.0</v>
      </c>
      <c r="L4" s="5">
        <v>83.2</v>
      </c>
      <c r="M4" s="5">
        <f>K4+L4</f>
        <v>461.2</v>
      </c>
      <c r="N4" s="5">
        <v>512.7</v>
      </c>
      <c r="O4" s="5">
        <v>124.5</v>
      </c>
      <c r="P4" s="5">
        <f>N4+O4</f>
        <v>637.2</v>
      </c>
      <c r="Q4" s="5">
        <v>234.9</v>
      </c>
      <c r="R4" s="5">
        <v>87.8</v>
      </c>
      <c r="S4" s="5">
        <v>207.6</v>
      </c>
      <c r="T4" s="5">
        <f>Q4+R4+S4</f>
        <v>530.3</v>
      </c>
      <c r="U4" s="5">
        <v>65.0</v>
      </c>
      <c r="V4" s="5">
        <v>83.0</v>
      </c>
      <c r="W4" s="5">
        <f>U4+V4</f>
        <v>148.0</v>
      </c>
      <c r="X4" s="5">
        <f>P4+T4+W4</f>
        <v>1315.5</v>
      </c>
      <c r="Y4" s="3" t="s">
        <v>50</v>
      </c>
      <c r="Z4" s="3" t="s">
        <v>1199</v>
      </c>
    </row>
    <row r="5" spans="8:8" ht="18.75" customHeight="1">
      <c r="A5" s="7" t="s">
        <v>77</v>
      </c>
      <c r="B5" s="8" t="s">
        <v>39</v>
      </c>
      <c r="C5" s="8" t="s">
        <v>78</v>
      </c>
      <c r="D5" s="8" t="s">
        <v>80</v>
      </c>
      <c r="E5" s="8" t="s">
        <v>82</v>
      </c>
      <c r="F5" s="11">
        <v>12.5</v>
      </c>
      <c r="G5" s="11">
        <v>6.8</v>
      </c>
      <c r="H5" s="11">
        <v>2.9</v>
      </c>
      <c r="I5" s="11">
        <f>G5-H5</f>
        <v>3.9</v>
      </c>
      <c r="J5" s="11">
        <v>4.85</v>
      </c>
      <c r="K5" s="10">
        <v>487.5</v>
      </c>
      <c r="L5" s="10">
        <v>107.2</v>
      </c>
      <c r="M5" s="10">
        <f>K5+L5</f>
        <v>594.7</v>
      </c>
      <c r="N5" s="10">
        <v>487.8</v>
      </c>
      <c r="O5" s="10">
        <v>160.6</v>
      </c>
      <c r="P5" s="10">
        <f>N5+O5</f>
        <v>648.4</v>
      </c>
      <c r="Q5" s="10">
        <v>211.9</v>
      </c>
      <c r="R5" s="10">
        <v>83.2</v>
      </c>
      <c r="S5" s="10">
        <v>267.6</v>
      </c>
      <c r="T5" s="10">
        <f>Q5+R5+S5</f>
        <v>562.7</v>
      </c>
      <c r="U5" s="10">
        <v>60.9</v>
      </c>
      <c r="V5" s="10">
        <v>107.0</v>
      </c>
      <c r="W5" s="10">
        <f>U5+V5</f>
        <v>167.9</v>
      </c>
      <c r="X5" s="10">
        <f>P5+T5+W5</f>
        <v>1379.0</v>
      </c>
      <c r="Y5" s="8" t="s">
        <v>50</v>
      </c>
      <c r="Z5" s="8" t="s">
        <v>1199</v>
      </c>
    </row>
    <row r="6" spans="8:8" ht="18.75" customHeight="1">
      <c r="A6" s="2" t="s">
        <v>87</v>
      </c>
      <c r="B6" s="3" t="s">
        <v>39</v>
      </c>
      <c r="C6" s="3" t="s">
        <v>88</v>
      </c>
      <c r="D6" s="3" t="s">
        <v>90</v>
      </c>
      <c r="E6" s="3" t="s">
        <v>92</v>
      </c>
      <c r="F6" s="6">
        <v>11.0</v>
      </c>
      <c r="G6" s="6">
        <v>7.2</v>
      </c>
      <c r="H6" s="6">
        <v>3.1</v>
      </c>
      <c r="I6" s="6">
        <f>G6-H6</f>
        <v>4.1</v>
      </c>
      <c r="J6" s="6">
        <v>5.15</v>
      </c>
      <c r="K6" s="5">
        <v>451.0</v>
      </c>
      <c r="L6" s="5">
        <v>99.2</v>
      </c>
      <c r="M6" s="5">
        <f>K6+L6</f>
        <v>550.2</v>
      </c>
      <c r="N6" s="5">
        <v>433.1</v>
      </c>
      <c r="O6" s="5">
        <v>148.6</v>
      </c>
      <c r="P6" s="5">
        <f>N6+O6</f>
        <v>581.7</v>
      </c>
      <c r="Q6" s="5">
        <v>209.0</v>
      </c>
      <c r="R6" s="5">
        <v>85.5</v>
      </c>
      <c r="S6" s="5">
        <v>247.6</v>
      </c>
      <c r="T6" s="5">
        <f>Q6+R6+S6</f>
        <v>542.1</v>
      </c>
      <c r="U6" s="5">
        <v>55.7</v>
      </c>
      <c r="V6" s="5">
        <v>99.0</v>
      </c>
      <c r="W6" s="5">
        <f>U6+V6</f>
        <v>154.7</v>
      </c>
      <c r="X6" s="5">
        <f>P6+T6+W6</f>
        <v>1278.5</v>
      </c>
      <c r="Y6" s="3" t="s">
        <v>50</v>
      </c>
      <c r="Z6" s="3" t="s">
        <v>1199</v>
      </c>
    </row>
    <row r="7" spans="8:8" ht="18.75" customHeight="1">
      <c r="A7" s="7" t="s">
        <v>93</v>
      </c>
      <c r="B7" s="8" t="s">
        <v>39</v>
      </c>
      <c r="C7" s="8" t="s">
        <v>94</v>
      </c>
      <c r="D7" s="8" t="s">
        <v>96</v>
      </c>
      <c r="E7" s="8" t="s">
        <v>98</v>
      </c>
      <c r="F7" s="11">
        <v>9.5</v>
      </c>
      <c r="G7" s="11">
        <v>8.6</v>
      </c>
      <c r="H7" s="11">
        <v>3.9</v>
      </c>
      <c r="I7" s="11">
        <f>G7-H7</f>
        <v>4.699999999999999</v>
      </c>
      <c r="J7" s="11">
        <v>6.25</v>
      </c>
      <c r="K7" s="10">
        <v>446.5</v>
      </c>
      <c r="L7" s="10">
        <v>98.2</v>
      </c>
      <c r="M7" s="10">
        <f>K7+L7</f>
        <v>544.7</v>
      </c>
      <c r="N7" s="10">
        <v>373.9</v>
      </c>
      <c r="O7" s="10">
        <v>147.1</v>
      </c>
      <c r="P7" s="10">
        <f>N7+O7</f>
        <v>521.0</v>
      </c>
      <c r="Q7" s="10">
        <v>219.9</v>
      </c>
      <c r="R7" s="10">
        <v>87.8</v>
      </c>
      <c r="S7" s="10">
        <v>245.1</v>
      </c>
      <c r="T7" s="10">
        <f>Q7+R7+S7</f>
        <v>552.8</v>
      </c>
      <c r="U7" s="10">
        <v>51.4</v>
      </c>
      <c r="V7" s="10">
        <v>98.0</v>
      </c>
      <c r="W7" s="10">
        <f>U7+V7</f>
        <v>149.4</v>
      </c>
      <c r="X7" s="10">
        <f>P7+T7+W7</f>
        <v>1223.2</v>
      </c>
      <c r="Y7" s="8" t="s">
        <v>50</v>
      </c>
      <c r="Z7" s="8" t="s">
        <v>1199</v>
      </c>
    </row>
    <row r="8" spans="8:8" ht="18.75" customHeight="1">
      <c r="A8" s="2" t="s">
        <v>99</v>
      </c>
      <c r="B8" s="3" t="s">
        <v>39</v>
      </c>
      <c r="C8" s="3" t="s">
        <v>100</v>
      </c>
      <c r="D8" s="3" t="s">
        <v>103</v>
      </c>
      <c r="E8" s="3" t="s">
        <v>105</v>
      </c>
      <c r="F8" s="6">
        <v>5.0</v>
      </c>
      <c r="G8" s="6">
        <v>14.5</v>
      </c>
      <c r="H8" s="6">
        <v>8.2</v>
      </c>
      <c r="I8" s="6">
        <f>G8-H8</f>
        <v>6.300000000000001</v>
      </c>
      <c r="J8" s="6">
        <v>11.35</v>
      </c>
      <c r="K8" s="5">
        <v>315.0</v>
      </c>
      <c r="L8" s="5">
        <v>69.3</v>
      </c>
      <c r="M8" s="5">
        <f>K8+L8</f>
        <v>384.3</v>
      </c>
      <c r="N8" s="5">
        <v>327.6</v>
      </c>
      <c r="O8" s="5">
        <v>86.5</v>
      </c>
      <c r="P8" s="5">
        <f>N8+O8</f>
        <v>414.1</v>
      </c>
      <c r="Q8" s="5">
        <v>174.8</v>
      </c>
      <c r="R8" s="6">
        <v>35.0</v>
      </c>
      <c r="S8" s="5">
        <v>144.1</v>
      </c>
      <c r="T8" s="5">
        <f>Q8+R8+S8</f>
        <v>353.9</v>
      </c>
      <c r="U8" s="6">
        <v>43.5</v>
      </c>
      <c r="V8" s="5">
        <v>57.6</v>
      </c>
      <c r="W8" s="5">
        <f>U8+V8</f>
        <v>101.1</v>
      </c>
      <c r="X8" s="5">
        <f>P8+T8+W8</f>
        <v>869.1</v>
      </c>
      <c r="Y8" s="3" t="s">
        <v>106</v>
      </c>
      <c r="Z8" s="3" t="s">
        <v>1200</v>
      </c>
    </row>
    <row r="9" spans="8:8" ht="18.75" customHeight="1">
      <c r="A9" s="7" t="s">
        <v>107</v>
      </c>
      <c r="B9" s="8" t="s">
        <v>39</v>
      </c>
      <c r="C9" s="8" t="s">
        <v>108</v>
      </c>
      <c r="D9" s="8" t="s">
        <v>110</v>
      </c>
      <c r="E9" s="8" t="s">
        <v>114</v>
      </c>
      <c r="F9" s="11">
        <v>8.5</v>
      </c>
      <c r="G9" s="11">
        <v>10.4</v>
      </c>
      <c r="H9" s="11">
        <v>4.6</v>
      </c>
      <c r="I9" s="11">
        <f>G9-H9</f>
        <v>5.800000000000001</v>
      </c>
      <c r="J9" s="11">
        <v>7.5</v>
      </c>
      <c r="K9" s="10">
        <v>493.0</v>
      </c>
      <c r="L9" s="10">
        <v>108.5</v>
      </c>
      <c r="M9" s="10">
        <f>K9+L9</f>
        <v>601.5</v>
      </c>
      <c r="N9" s="10">
        <v>254.2</v>
      </c>
      <c r="O9" s="10">
        <v>162.4</v>
      </c>
      <c r="P9" s="10">
        <f>N9+O9</f>
        <v>416.6</v>
      </c>
      <c r="Q9" s="10">
        <v>420.5</v>
      </c>
      <c r="R9" s="11">
        <v>29.0</v>
      </c>
      <c r="S9" s="10">
        <v>270.7</v>
      </c>
      <c r="T9" s="10">
        <f>Q9+R9+S9</f>
        <v>720.2</v>
      </c>
      <c r="U9" s="11">
        <v>34.4</v>
      </c>
      <c r="V9" s="10">
        <v>108.3</v>
      </c>
      <c r="W9" s="10">
        <f>U9+V9</f>
        <v>142.7</v>
      </c>
      <c r="X9" s="10">
        <f>P9+T9+W9</f>
        <v>1279.5</v>
      </c>
      <c r="Y9" s="8" t="s">
        <v>50</v>
      </c>
      <c r="Z9" s="8" t="s">
        <v>1199</v>
      </c>
    </row>
    <row r="10" spans="8:8" ht="18.75" customHeight="1">
      <c r="A10" s="2" t="s">
        <v>115</v>
      </c>
      <c r="B10" s="3" t="s">
        <v>39</v>
      </c>
      <c r="C10" s="3" t="s">
        <v>116</v>
      </c>
      <c r="D10" s="3" t="s">
        <v>119</v>
      </c>
      <c r="E10" s="3" t="s">
        <v>122</v>
      </c>
      <c r="F10" s="6">
        <v>3.5</v>
      </c>
      <c r="G10" s="6">
        <v>18.6</v>
      </c>
      <c r="H10" s="6">
        <v>11.4</v>
      </c>
      <c r="I10" s="6">
        <f>G10-H10</f>
        <v>7.200000000000001</v>
      </c>
      <c r="J10" s="6">
        <v>15.0</v>
      </c>
      <c r="K10" s="5">
        <v>252.0</v>
      </c>
      <c r="L10" s="5">
        <v>55.4</v>
      </c>
      <c r="M10" s="5">
        <f>K10+L10</f>
        <v>307.4</v>
      </c>
      <c r="N10" s="5">
        <v>282.9</v>
      </c>
      <c r="O10" s="5">
        <v>69.1</v>
      </c>
      <c r="P10" s="5">
        <f>N10+O10</f>
        <v>352.0</v>
      </c>
      <c r="Q10" s="5">
        <v>318.8</v>
      </c>
      <c r="R10" s="6">
        <v>24.0</v>
      </c>
      <c r="S10" s="5">
        <v>115.2</v>
      </c>
      <c r="T10" s="5">
        <f>Q10+R10+S10</f>
        <v>458.0</v>
      </c>
      <c r="U10" s="6">
        <v>44.3</v>
      </c>
      <c r="V10" s="6">
        <v>46.1</v>
      </c>
      <c r="W10" s="5">
        <f>U10+V10</f>
        <v>90.4</v>
      </c>
      <c r="X10" s="5">
        <f>P10+T10+W10</f>
        <v>900.4</v>
      </c>
      <c r="Y10" s="3" t="s">
        <v>106</v>
      </c>
      <c r="Z10" s="3" t="s">
        <v>1200</v>
      </c>
    </row>
    <row r="11" spans="8:8" ht="18.75" customHeight="1">
      <c r="A11" s="7" t="s">
        <v>127</v>
      </c>
      <c r="B11" s="8" t="s">
        <v>39</v>
      </c>
      <c r="C11" s="8" t="s">
        <v>128</v>
      </c>
      <c r="D11" s="8" t="s">
        <v>130</v>
      </c>
      <c r="E11" s="8" t="s">
        <v>135</v>
      </c>
      <c r="F11" s="11">
        <v>4.2</v>
      </c>
      <c r="G11" s="11">
        <v>15.2</v>
      </c>
      <c r="H11" s="11">
        <v>9.1</v>
      </c>
      <c r="I11" s="11">
        <f>G11-H11</f>
        <v>6.1</v>
      </c>
      <c r="J11" s="11">
        <v>12.15</v>
      </c>
      <c r="K11" s="10">
        <v>256.2</v>
      </c>
      <c r="L11" s="10">
        <v>56.4</v>
      </c>
      <c r="M11" s="10">
        <f>K11+L11</f>
        <v>312.59999999999997</v>
      </c>
      <c r="N11" s="10">
        <v>298.0</v>
      </c>
      <c r="O11" s="10">
        <v>70.3</v>
      </c>
      <c r="P11" s="10">
        <f>N11+O11</f>
        <v>368.3</v>
      </c>
      <c r="Q11" s="10">
        <v>116.0</v>
      </c>
      <c r="R11" s="11">
        <v>33.0</v>
      </c>
      <c r="S11" s="10">
        <v>117.2</v>
      </c>
      <c r="T11" s="10">
        <f>Q11+R11+S11</f>
        <v>266.2</v>
      </c>
      <c r="U11" s="11">
        <v>36.1</v>
      </c>
      <c r="V11" s="11">
        <v>46.9</v>
      </c>
      <c r="W11" s="10">
        <f>U11+V11</f>
        <v>83.0</v>
      </c>
      <c r="X11" s="10">
        <f>P11+T11+W11</f>
        <v>717.5</v>
      </c>
      <c r="Y11" s="8" t="s">
        <v>106</v>
      </c>
      <c r="Z11" s="8" t="s">
        <v>1200</v>
      </c>
    </row>
    <row r="12" spans="8:8" ht="18.75" customHeight="1">
      <c r="A12" s="2" t="s">
        <v>139</v>
      </c>
      <c r="B12" s="3" t="s">
        <v>39</v>
      </c>
      <c r="C12" s="3" t="s">
        <v>140</v>
      </c>
      <c r="D12" s="3" t="s">
        <v>142</v>
      </c>
      <c r="E12" s="3" t="s">
        <v>146</v>
      </c>
      <c r="F12" s="6">
        <v>3.0</v>
      </c>
      <c r="G12" s="6">
        <v>22.4</v>
      </c>
      <c r="H12" s="6">
        <v>14.8</v>
      </c>
      <c r="I12" s="6">
        <f>G12-H12</f>
        <v>7.599999999999998</v>
      </c>
      <c r="J12" s="6">
        <v>18.6</v>
      </c>
      <c r="K12" s="5">
        <v>228.0</v>
      </c>
      <c r="L12" s="5">
        <v>50.2</v>
      </c>
      <c r="M12" s="5">
        <f>K12+L12</f>
        <v>278.2</v>
      </c>
      <c r="N12" s="5">
        <v>223.1</v>
      </c>
      <c r="O12" s="6">
        <v>45.9</v>
      </c>
      <c r="P12" s="5">
        <f>N12+O12</f>
        <v>269.0</v>
      </c>
      <c r="Q12" s="5">
        <v>123.0</v>
      </c>
      <c r="R12" s="6">
        <v>19.0</v>
      </c>
      <c r="S12" s="5">
        <v>76.5</v>
      </c>
      <c r="T12" s="5">
        <f>Q12+R12+S12</f>
        <v>218.5</v>
      </c>
      <c r="U12" s="6">
        <v>38.4</v>
      </c>
      <c r="V12" s="6">
        <v>30.6</v>
      </c>
      <c r="W12" s="5">
        <f>U12+V12</f>
        <v>69.0</v>
      </c>
      <c r="X12" s="5">
        <f>P12+T12+W12</f>
        <v>556.5</v>
      </c>
      <c r="Y12" s="3" t="s">
        <v>147</v>
      </c>
      <c r="Z12" s="3" t="s">
        <v>1201</v>
      </c>
    </row>
    <row r="13" spans="8:8" ht="18.75" customHeight="1">
      <c r="A13" s="7" t="s">
        <v>148</v>
      </c>
      <c r="B13" s="8" t="s">
        <v>39</v>
      </c>
      <c r="C13" s="8" t="s">
        <v>149</v>
      </c>
      <c r="D13" s="8" t="s">
        <v>151</v>
      </c>
      <c r="E13" s="8" t="s">
        <v>152</v>
      </c>
      <c r="F13" s="11">
        <v>4.0</v>
      </c>
      <c r="G13" s="11">
        <v>17.8</v>
      </c>
      <c r="H13" s="11">
        <v>10.9</v>
      </c>
      <c r="I13" s="11">
        <f>G13-H13</f>
        <v>6.9</v>
      </c>
      <c r="J13" s="11">
        <v>14.35</v>
      </c>
      <c r="K13" s="10">
        <v>276.0</v>
      </c>
      <c r="L13" s="10">
        <v>60.7</v>
      </c>
      <c r="M13" s="10">
        <f>K13+L13</f>
        <v>336.7</v>
      </c>
      <c r="N13" s="10">
        <v>264.0</v>
      </c>
      <c r="O13" s="10">
        <v>75.8</v>
      </c>
      <c r="P13" s="10">
        <f>N13+O13</f>
        <v>339.8</v>
      </c>
      <c r="Q13" s="10">
        <v>187.2</v>
      </c>
      <c r="R13" s="11">
        <v>30.0</v>
      </c>
      <c r="S13" s="10">
        <v>126.2</v>
      </c>
      <c r="T13" s="10">
        <f>Q13+R13+S13</f>
        <v>343.4</v>
      </c>
      <c r="U13" s="11">
        <v>38.8</v>
      </c>
      <c r="V13" s="10">
        <v>50.5</v>
      </c>
      <c r="W13" s="10">
        <f>U13+V13</f>
        <v>89.3</v>
      </c>
      <c r="X13" s="10">
        <f>P13+T13+W13</f>
        <v>772.5</v>
      </c>
      <c r="Y13" s="8" t="s">
        <v>106</v>
      </c>
      <c r="Z13" s="8" t="s">
        <v>1200</v>
      </c>
    </row>
    <row r="14" spans="8:8" ht="18.75" customHeight="1">
      <c r="A14" s="2" t="s">
        <v>157</v>
      </c>
      <c r="B14" s="3" t="s">
        <v>39</v>
      </c>
      <c r="C14" s="3" t="s">
        <v>158</v>
      </c>
      <c r="D14" s="3" t="s">
        <v>160</v>
      </c>
      <c r="E14" s="3" t="s">
        <v>165</v>
      </c>
      <c r="F14" s="6">
        <v>4.5</v>
      </c>
      <c r="G14" s="6">
        <v>6.2</v>
      </c>
      <c r="H14" s="6">
        <v>2.4</v>
      </c>
      <c r="I14" s="6">
        <f>G14-H14</f>
        <v>3.8000000000000003</v>
      </c>
      <c r="J14" s="6">
        <v>4.3</v>
      </c>
      <c r="K14" s="5">
        <v>171.0</v>
      </c>
      <c r="L14" s="6">
        <v>37.6</v>
      </c>
      <c r="M14" s="5">
        <f>K14+L14</f>
        <v>208.6</v>
      </c>
      <c r="N14" s="5">
        <v>677.5</v>
      </c>
      <c r="O14" s="5">
        <v>56.3</v>
      </c>
      <c r="P14" s="5">
        <f>N14+O14</f>
        <v>733.8</v>
      </c>
      <c r="Q14" s="5">
        <v>186.8</v>
      </c>
      <c r="R14" s="5">
        <v>72.0</v>
      </c>
      <c r="S14" s="5">
        <v>93.8</v>
      </c>
      <c r="T14" s="5">
        <f>Q14+R14+S14</f>
        <v>352.6</v>
      </c>
      <c r="U14" s="5">
        <v>96.8</v>
      </c>
      <c r="V14" s="6">
        <v>37.5</v>
      </c>
      <c r="W14" s="5">
        <f>U14+V14</f>
        <v>134.3</v>
      </c>
      <c r="X14" s="5">
        <f>P14+T14+W14</f>
        <v>1220.7</v>
      </c>
      <c r="Y14" s="3" t="s">
        <v>50</v>
      </c>
      <c r="Z14" s="3" t="s">
        <v>1199</v>
      </c>
    </row>
    <row r="15" spans="8:8" ht="18.75" customHeight="1">
      <c r="A15" s="7" t="s">
        <v>166</v>
      </c>
      <c r="B15" s="8" t="s">
        <v>167</v>
      </c>
      <c r="C15" s="8" t="s">
        <v>168</v>
      </c>
      <c r="D15" s="8" t="s">
        <v>170</v>
      </c>
      <c r="E15" s="8" t="s">
        <v>174</v>
      </c>
      <c r="F15" s="11">
        <v>4.5</v>
      </c>
      <c r="G15" s="11">
        <v>11.2</v>
      </c>
      <c r="H15" s="11">
        <v>4.8</v>
      </c>
      <c r="I15" s="11">
        <f>G15-H15</f>
        <v>6.3999999999999995</v>
      </c>
      <c r="J15" s="11">
        <v>8.0</v>
      </c>
      <c r="K15" s="10">
        <v>288.0</v>
      </c>
      <c r="L15" s="10">
        <v>63.4</v>
      </c>
      <c r="M15" s="10">
        <f>K15+L15</f>
        <v>351.4</v>
      </c>
      <c r="N15" s="10">
        <v>566.1</v>
      </c>
      <c r="O15" s="10">
        <v>94.9</v>
      </c>
      <c r="P15" s="10">
        <f>N15+O15</f>
        <v>661.0</v>
      </c>
      <c r="Q15" s="10">
        <v>91.3</v>
      </c>
      <c r="R15" s="10">
        <v>69.8</v>
      </c>
      <c r="S15" s="10">
        <v>158.2</v>
      </c>
      <c r="T15" s="10">
        <f>Q15+R15+S15</f>
        <v>319.29999999999995</v>
      </c>
      <c r="U15" s="11">
        <v>42.6</v>
      </c>
      <c r="V15" s="10">
        <v>63.3</v>
      </c>
      <c r="W15" s="10">
        <f>U15+V15</f>
        <v>105.9</v>
      </c>
      <c r="X15" s="10">
        <f>P15+T15+W15</f>
        <v>1086.2</v>
      </c>
      <c r="Y15" s="8" t="s">
        <v>50</v>
      </c>
      <c r="Z15" s="8" t="s">
        <v>1199</v>
      </c>
    </row>
    <row r="16" spans="8:8" ht="18.75" customHeight="1">
      <c r="A16" s="2" t="s">
        <v>178</v>
      </c>
      <c r="B16" s="3" t="s">
        <v>167</v>
      </c>
      <c r="C16" s="3" t="s">
        <v>179</v>
      </c>
      <c r="D16" s="3" t="s">
        <v>181</v>
      </c>
      <c r="E16" s="3" t="s">
        <v>184</v>
      </c>
      <c r="F16" s="6">
        <v>5.0</v>
      </c>
      <c r="G16" s="6">
        <v>9.8</v>
      </c>
      <c r="H16" s="6">
        <v>4.1</v>
      </c>
      <c r="I16" s="6">
        <f>G16-H16</f>
        <v>5.700000000000001</v>
      </c>
      <c r="J16" s="6">
        <v>6.95</v>
      </c>
      <c r="K16" s="5">
        <v>285.0</v>
      </c>
      <c r="L16" s="5">
        <v>62.7</v>
      </c>
      <c r="M16" s="5">
        <f>K16+L16</f>
        <v>347.7</v>
      </c>
      <c r="N16" s="5">
        <v>633.9</v>
      </c>
      <c r="O16" s="5">
        <v>93.9</v>
      </c>
      <c r="P16" s="5">
        <f>N16+O16</f>
        <v>727.8</v>
      </c>
      <c r="Q16" s="5">
        <v>90.4</v>
      </c>
      <c r="R16" s="5">
        <v>85.5</v>
      </c>
      <c r="S16" s="5">
        <v>156.4</v>
      </c>
      <c r="T16" s="5">
        <f>Q16+R16+S16</f>
        <v>332.3</v>
      </c>
      <c r="U16" s="6">
        <v>30.7</v>
      </c>
      <c r="V16" s="5">
        <v>62.6</v>
      </c>
      <c r="W16" s="5">
        <f>U16+V16</f>
        <v>93.3</v>
      </c>
      <c r="X16" s="5">
        <f>P16+T16+W16</f>
        <v>1153.3999999999999</v>
      </c>
      <c r="Y16" s="3" t="s">
        <v>50</v>
      </c>
      <c r="Z16" s="3" t="s">
        <v>1199</v>
      </c>
    </row>
    <row r="17" spans="8:8" ht="18.75" customHeight="1">
      <c r="A17" s="7" t="s">
        <v>185</v>
      </c>
      <c r="B17" s="8" t="s">
        <v>167</v>
      </c>
      <c r="C17" s="8" t="s">
        <v>186</v>
      </c>
      <c r="D17" s="8" t="s">
        <v>188</v>
      </c>
      <c r="E17" s="8" t="s">
        <v>192</v>
      </c>
      <c r="F17" s="11">
        <v>5.5</v>
      </c>
      <c r="G17" s="11">
        <v>8.9</v>
      </c>
      <c r="H17" s="11">
        <v>3.7</v>
      </c>
      <c r="I17" s="11">
        <f>G17-H17</f>
        <v>5.2</v>
      </c>
      <c r="J17" s="11">
        <v>6.3</v>
      </c>
      <c r="K17" s="10">
        <v>286.0</v>
      </c>
      <c r="L17" s="10">
        <v>62.9</v>
      </c>
      <c r="M17" s="10">
        <f>K17+L17</f>
        <v>348.9</v>
      </c>
      <c r="N17" s="10">
        <v>575.5</v>
      </c>
      <c r="O17" s="10">
        <v>94.2</v>
      </c>
      <c r="P17" s="10">
        <f>N17+O17</f>
        <v>669.7</v>
      </c>
      <c r="Q17" s="10">
        <v>111.1</v>
      </c>
      <c r="R17" s="10">
        <v>72.0</v>
      </c>
      <c r="S17" s="10">
        <v>157.0</v>
      </c>
      <c r="T17" s="10">
        <f>Q17+R17+S17</f>
        <v>340.1</v>
      </c>
      <c r="U17" s="11">
        <v>44.4</v>
      </c>
      <c r="V17" s="10">
        <v>62.8</v>
      </c>
      <c r="W17" s="10">
        <f>U17+V17</f>
        <v>107.19999999999999</v>
      </c>
      <c r="X17" s="10">
        <f>P17+T17+W17</f>
        <v>1117.0</v>
      </c>
      <c r="Y17" s="8" t="s">
        <v>50</v>
      </c>
      <c r="Z17" s="8" t="s">
        <v>1199</v>
      </c>
    </row>
    <row r="18" spans="8:8" ht="18.75" customHeight="1">
      <c r="A18" s="2" t="s">
        <v>193</v>
      </c>
      <c r="B18" s="3" t="s">
        <v>167</v>
      </c>
      <c r="C18" s="3" t="s">
        <v>194</v>
      </c>
      <c r="D18" s="3" t="s">
        <v>196</v>
      </c>
      <c r="E18" s="3" t="s">
        <v>198</v>
      </c>
      <c r="F18" s="6">
        <v>3.5</v>
      </c>
      <c r="G18" s="6">
        <v>16.5</v>
      </c>
      <c r="H18" s="6">
        <v>9.2</v>
      </c>
      <c r="I18" s="6">
        <f>G18-H18</f>
        <v>7.300000000000001</v>
      </c>
      <c r="J18" s="6">
        <v>12.85</v>
      </c>
      <c r="K18" s="5">
        <v>255.5</v>
      </c>
      <c r="L18" s="5">
        <v>56.2</v>
      </c>
      <c r="M18" s="5">
        <f>K18+L18</f>
        <v>311.7</v>
      </c>
      <c r="N18" s="5">
        <v>461.3</v>
      </c>
      <c r="O18" s="5">
        <v>70.1</v>
      </c>
      <c r="P18" s="5">
        <f>N18+O18</f>
        <v>531.4</v>
      </c>
      <c r="Q18" s="5">
        <v>89.1</v>
      </c>
      <c r="R18" s="5">
        <v>63.0</v>
      </c>
      <c r="S18" s="5">
        <v>116.9</v>
      </c>
      <c r="T18" s="5">
        <f>Q18+R18+S18</f>
        <v>269.0</v>
      </c>
      <c r="U18" s="6">
        <v>35.6</v>
      </c>
      <c r="V18" s="6">
        <v>46.8</v>
      </c>
      <c r="W18" s="5">
        <f>U18+V18</f>
        <v>82.4</v>
      </c>
      <c r="X18" s="5">
        <f>P18+T18+W18</f>
        <v>882.8</v>
      </c>
      <c r="Y18" s="3" t="s">
        <v>106</v>
      </c>
      <c r="Z18" s="3" t="s">
        <v>1200</v>
      </c>
    </row>
    <row r="19" spans="8:8" ht="18.75" customHeight="1">
      <c r="A19" s="7" t="s">
        <v>199</v>
      </c>
      <c r="B19" s="8" t="s">
        <v>167</v>
      </c>
      <c r="C19" s="8" t="s">
        <v>200</v>
      </c>
      <c r="D19" s="8" t="s">
        <v>202</v>
      </c>
      <c r="E19" s="8" t="s">
        <v>203</v>
      </c>
      <c r="F19" s="11">
        <v>3.8</v>
      </c>
      <c r="G19" s="11">
        <v>13.8</v>
      </c>
      <c r="H19" s="11">
        <v>6.9</v>
      </c>
      <c r="I19" s="11">
        <f>G19-H19</f>
        <v>6.9</v>
      </c>
      <c r="J19" s="11">
        <v>10.35</v>
      </c>
      <c r="K19" s="10">
        <v>262.2</v>
      </c>
      <c r="L19" s="10">
        <v>57.7</v>
      </c>
      <c r="M19" s="10">
        <f>K19+L19</f>
        <v>319.9</v>
      </c>
      <c r="N19" s="10">
        <v>371.6</v>
      </c>
      <c r="O19" s="10">
        <v>72.0</v>
      </c>
      <c r="P19" s="10">
        <f>N19+O19</f>
        <v>443.6</v>
      </c>
      <c r="Q19" s="10">
        <v>110.8</v>
      </c>
      <c r="R19" s="10">
        <v>58.5</v>
      </c>
      <c r="S19" s="10">
        <v>120.0</v>
      </c>
      <c r="T19" s="10">
        <f>Q19+R19+S19</f>
        <v>289.3</v>
      </c>
      <c r="U19" s="11">
        <v>31.0</v>
      </c>
      <c r="V19" s="11">
        <v>48.0</v>
      </c>
      <c r="W19" s="10">
        <f>U19+V19</f>
        <v>79.0</v>
      </c>
      <c r="X19" s="10">
        <f>P19+T19+W19</f>
        <v>811.9</v>
      </c>
      <c r="Y19" s="8" t="s">
        <v>106</v>
      </c>
      <c r="Z19" s="8" t="s">
        <v>1200</v>
      </c>
    </row>
    <row r="20" spans="8:8" ht="18.75" customHeight="1">
      <c r="A20" s="2" t="s">
        <v>204</v>
      </c>
      <c r="B20" s="3" t="s">
        <v>167</v>
      </c>
      <c r="C20" s="3" t="s">
        <v>205</v>
      </c>
      <c r="D20" s="3" t="s">
        <v>207</v>
      </c>
      <c r="E20" s="3" t="s">
        <v>209</v>
      </c>
      <c r="F20" s="6">
        <v>3.2</v>
      </c>
      <c r="G20" s="6">
        <v>17.4</v>
      </c>
      <c r="H20" s="6">
        <v>10.5</v>
      </c>
      <c r="I20" s="6">
        <f>G20-H20</f>
        <v>6.899999999999999</v>
      </c>
      <c r="J20" s="6">
        <v>13.95</v>
      </c>
      <c r="K20" s="5">
        <v>220.8</v>
      </c>
      <c r="L20" s="6">
        <v>48.6</v>
      </c>
      <c r="M20" s="5">
        <f>K20+L20</f>
        <v>269.40000000000003</v>
      </c>
      <c r="N20" s="5">
        <v>338.0</v>
      </c>
      <c r="O20" s="5">
        <v>60.6</v>
      </c>
      <c r="P20" s="5">
        <f>N20+O20</f>
        <v>398.6</v>
      </c>
      <c r="Q20" s="5">
        <v>94.5</v>
      </c>
      <c r="R20" s="6">
        <v>25.0</v>
      </c>
      <c r="S20" s="5">
        <v>101.0</v>
      </c>
      <c r="T20" s="5">
        <f>Q20+R20+S20</f>
        <v>220.5</v>
      </c>
      <c r="U20" s="6">
        <v>27.8</v>
      </c>
      <c r="V20" s="6">
        <v>40.4</v>
      </c>
      <c r="W20" s="5">
        <f>U20+V20</f>
        <v>68.2</v>
      </c>
      <c r="X20" s="5">
        <f>P20+T20+W20</f>
        <v>687.3000000000001</v>
      </c>
      <c r="Y20" s="3" t="s">
        <v>106</v>
      </c>
      <c r="Z20" s="3" t="s">
        <v>1200</v>
      </c>
    </row>
    <row r="21" spans="8:8" ht="18.75" customHeight="1">
      <c r="A21" s="7" t="s">
        <v>210</v>
      </c>
      <c r="B21" s="8" t="s">
        <v>211</v>
      </c>
      <c r="C21" s="8" t="s">
        <v>212</v>
      </c>
      <c r="D21" s="8" t="s">
        <v>215</v>
      </c>
      <c r="E21" s="8" t="s">
        <v>219</v>
      </c>
      <c r="F21" s="11">
        <v>10.5</v>
      </c>
      <c r="G21" s="11">
        <v>11.5</v>
      </c>
      <c r="H21" s="11">
        <v>5.2</v>
      </c>
      <c r="I21" s="11">
        <f>G21-H21</f>
        <v>6.3</v>
      </c>
      <c r="J21" s="11">
        <v>8.35</v>
      </c>
      <c r="K21" s="10">
        <v>661.5</v>
      </c>
      <c r="L21" s="10">
        <v>145.5</v>
      </c>
      <c r="M21" s="10">
        <f>K21+L21</f>
        <v>807.0</v>
      </c>
      <c r="N21" s="10">
        <v>271.0</v>
      </c>
      <c r="O21" s="10">
        <v>181.6</v>
      </c>
      <c r="P21" s="10">
        <f>N21+O21</f>
        <v>452.6</v>
      </c>
      <c r="Q21" s="10">
        <v>465.0</v>
      </c>
      <c r="R21" s="11">
        <v>29.0</v>
      </c>
      <c r="S21" s="10">
        <v>302.6</v>
      </c>
      <c r="T21" s="10">
        <f>Q21+R21+S21</f>
        <v>796.6</v>
      </c>
      <c r="U21" s="10">
        <v>62.0</v>
      </c>
      <c r="V21" s="10">
        <v>121.0</v>
      </c>
      <c r="W21" s="10">
        <f>U21+V21</f>
        <v>183.0</v>
      </c>
      <c r="X21" s="10">
        <f>P21+T21+W21</f>
        <v>1432.2</v>
      </c>
      <c r="Y21" s="8" t="s">
        <v>106</v>
      </c>
      <c r="Z21" s="8" t="s">
        <v>1200</v>
      </c>
    </row>
    <row r="22" spans="8:8" ht="18.75" customHeight="1">
      <c r="A22" s="2" t="s">
        <v>220</v>
      </c>
      <c r="B22" s="3" t="s">
        <v>211</v>
      </c>
      <c r="C22" s="3" t="s">
        <v>221</v>
      </c>
      <c r="D22" s="3" t="s">
        <v>223</v>
      </c>
      <c r="E22" s="3" t="s">
        <v>226</v>
      </c>
      <c r="F22" s="6">
        <v>3.0</v>
      </c>
      <c r="G22" s="6">
        <v>21.8</v>
      </c>
      <c r="H22" s="6">
        <v>14.5</v>
      </c>
      <c r="I22" s="6">
        <f>G22-H22</f>
        <v>7.300000000000001</v>
      </c>
      <c r="J22" s="6">
        <v>18.15</v>
      </c>
      <c r="K22" s="5">
        <v>219.0</v>
      </c>
      <c r="L22" s="6">
        <v>48.2</v>
      </c>
      <c r="M22" s="5">
        <f>K22+L22</f>
        <v>267.2</v>
      </c>
      <c r="N22" s="5">
        <v>257.2</v>
      </c>
      <c r="O22" s="6">
        <v>44.1</v>
      </c>
      <c r="P22" s="5">
        <f>N22+O22</f>
        <v>301.3</v>
      </c>
      <c r="Q22" s="5">
        <v>258.4</v>
      </c>
      <c r="R22" s="6">
        <v>25.0</v>
      </c>
      <c r="S22" s="5">
        <v>73.5</v>
      </c>
      <c r="T22" s="5">
        <f>Q22+R22+S22</f>
        <v>356.9</v>
      </c>
      <c r="U22" s="5">
        <v>82.4</v>
      </c>
      <c r="V22" s="6">
        <v>29.4</v>
      </c>
      <c r="W22" s="5">
        <f>U22+V22</f>
        <v>111.80000000000001</v>
      </c>
      <c r="X22" s="5">
        <f>P22+T22+W22</f>
        <v>770.0</v>
      </c>
      <c r="Y22" s="3" t="s">
        <v>147</v>
      </c>
      <c r="Z22" s="3" t="s">
        <v>1201</v>
      </c>
    </row>
    <row r="23" spans="8:8" ht="18.75" customHeight="1">
      <c r="A23" s="7" t="s">
        <v>231</v>
      </c>
      <c r="B23" s="8" t="s">
        <v>211</v>
      </c>
      <c r="C23" s="8" t="s">
        <v>232</v>
      </c>
      <c r="D23" s="8" t="s">
        <v>234</v>
      </c>
      <c r="E23" s="8" t="s">
        <v>237</v>
      </c>
      <c r="F23" s="11">
        <v>3.2</v>
      </c>
      <c r="G23" s="11">
        <v>24.5</v>
      </c>
      <c r="H23" s="11">
        <v>16.8</v>
      </c>
      <c r="I23" s="11">
        <f>G23-H23</f>
        <v>7.699999999999999</v>
      </c>
      <c r="J23" s="11">
        <v>20.65</v>
      </c>
      <c r="K23" s="10">
        <v>246.4</v>
      </c>
      <c r="L23" s="10">
        <v>54.2</v>
      </c>
      <c r="M23" s="10">
        <f>K23+L23</f>
        <v>300.6</v>
      </c>
      <c r="N23" s="10">
        <v>150.1</v>
      </c>
      <c r="O23" s="11">
        <v>31.6</v>
      </c>
      <c r="P23" s="10">
        <f>N23+O23</f>
        <v>181.7</v>
      </c>
      <c r="Q23" s="10">
        <v>269.1</v>
      </c>
      <c r="R23" s="11">
        <v>28.0</v>
      </c>
      <c r="S23" s="10">
        <v>52.6</v>
      </c>
      <c r="T23" s="10">
        <f>Q23+R23+S23</f>
        <v>349.70000000000005</v>
      </c>
      <c r="U23" s="10">
        <v>77.3</v>
      </c>
      <c r="V23" s="11">
        <v>21.0</v>
      </c>
      <c r="W23" s="10">
        <f>U23+V23</f>
        <v>98.3</v>
      </c>
      <c r="X23" s="10">
        <f>P23+T23+W23</f>
        <v>629.6999999999999</v>
      </c>
      <c r="Y23" s="8" t="s">
        <v>238</v>
      </c>
      <c r="Z23" s="8" t="s">
        <v>1201</v>
      </c>
    </row>
    <row r="24" spans="8:8" ht="18.75" customHeight="1">
      <c r="A24" s="2" t="s">
        <v>239</v>
      </c>
      <c r="B24" s="3" t="s">
        <v>211</v>
      </c>
      <c r="C24" s="3" t="s">
        <v>240</v>
      </c>
      <c r="D24" s="3" t="s">
        <v>242</v>
      </c>
      <c r="E24" s="3" t="s">
        <v>244</v>
      </c>
      <c r="F24" s="6">
        <v>12.0</v>
      </c>
      <c r="G24" s="6">
        <v>8.2</v>
      </c>
      <c r="H24" s="6">
        <v>3.4</v>
      </c>
      <c r="I24" s="6">
        <f>G24-H24</f>
        <v>4.799999999999999</v>
      </c>
      <c r="J24" s="6">
        <v>5.8</v>
      </c>
      <c r="K24" s="5">
        <v>576.0</v>
      </c>
      <c r="L24" s="5">
        <v>126.7</v>
      </c>
      <c r="M24" s="5">
        <f>K24+L24</f>
        <v>702.7</v>
      </c>
      <c r="N24" s="5">
        <v>207.5</v>
      </c>
      <c r="O24" s="5">
        <v>158.1</v>
      </c>
      <c r="P24" s="5">
        <f>N24+O24</f>
        <v>365.6</v>
      </c>
      <c r="Q24" s="5">
        <v>480.8</v>
      </c>
      <c r="R24" s="6">
        <v>38.0</v>
      </c>
      <c r="S24" s="5">
        <v>263.5</v>
      </c>
      <c r="T24" s="5">
        <f>Q24+R24+S24</f>
        <v>782.3</v>
      </c>
      <c r="U24" s="6">
        <v>49.9</v>
      </c>
      <c r="V24" s="5">
        <v>105.4</v>
      </c>
      <c r="W24" s="5">
        <f>U24+V24</f>
        <v>155.3</v>
      </c>
      <c r="X24" s="5">
        <f>P24+T24+W24</f>
        <v>1303.2</v>
      </c>
      <c r="Y24" s="3" t="s">
        <v>106</v>
      </c>
      <c r="Z24" s="3" t="s">
        <v>1200</v>
      </c>
    </row>
    <row r="25" spans="8:8" ht="18.75" customHeight="1">
      <c r="A25" s="7" t="s">
        <v>248</v>
      </c>
      <c r="B25" s="8" t="s">
        <v>211</v>
      </c>
      <c r="C25" s="8" t="s">
        <v>249</v>
      </c>
      <c r="D25" s="8" t="s">
        <v>251</v>
      </c>
      <c r="E25" s="8" t="s">
        <v>252</v>
      </c>
      <c r="F25" s="11">
        <v>4.5</v>
      </c>
      <c r="G25" s="11">
        <v>12.6</v>
      </c>
      <c r="H25" s="11">
        <v>6.8</v>
      </c>
      <c r="I25" s="11">
        <f>G25-H25</f>
        <v>5.8</v>
      </c>
      <c r="J25" s="11">
        <v>9.7</v>
      </c>
      <c r="K25" s="10">
        <v>261.0</v>
      </c>
      <c r="L25" s="10">
        <v>57.4</v>
      </c>
      <c r="M25" s="10">
        <f>K25+L25</f>
        <v>318.4</v>
      </c>
      <c r="N25" s="10">
        <v>136.5</v>
      </c>
      <c r="O25" s="10">
        <v>71.6</v>
      </c>
      <c r="P25" s="10">
        <f>N25+O25</f>
        <v>208.1</v>
      </c>
      <c r="Q25" s="10">
        <v>367.4</v>
      </c>
      <c r="R25" s="11">
        <v>29.0</v>
      </c>
      <c r="S25" s="10">
        <v>119.4</v>
      </c>
      <c r="T25" s="10">
        <f>Q25+R25+S25</f>
        <v>515.8</v>
      </c>
      <c r="U25" s="10">
        <v>78.7</v>
      </c>
      <c r="V25" s="11">
        <v>47.8</v>
      </c>
      <c r="W25" s="10">
        <f>U25+V25</f>
        <v>126.5</v>
      </c>
      <c r="X25" s="10">
        <f>P25+T25+W25</f>
        <v>850.4</v>
      </c>
      <c r="Y25" s="8" t="s">
        <v>106</v>
      </c>
      <c r="Z25" s="8" t="s">
        <v>1200</v>
      </c>
    </row>
    <row r="26" spans="8:8" ht="18.75" customHeight="1">
      <c r="A26" s="2" t="s">
        <v>253</v>
      </c>
      <c r="B26" s="3" t="s">
        <v>211</v>
      </c>
      <c r="C26" s="3" t="s">
        <v>254</v>
      </c>
      <c r="D26" s="3" t="s">
        <v>257</v>
      </c>
      <c r="E26" s="3" t="s">
        <v>262</v>
      </c>
      <c r="F26" s="6">
        <v>6.0</v>
      </c>
      <c r="G26" s="6">
        <v>6.5</v>
      </c>
      <c r="H26" s="6">
        <v>2.8</v>
      </c>
      <c r="I26" s="6">
        <f>G26-H26</f>
        <v>3.7</v>
      </c>
      <c r="J26" s="6">
        <v>4.65</v>
      </c>
      <c r="K26" s="5">
        <v>222.0</v>
      </c>
      <c r="L26" s="6">
        <v>48.8</v>
      </c>
      <c r="M26" s="5">
        <f>K26+L26</f>
        <v>270.8</v>
      </c>
      <c r="N26" s="5">
        <v>401.7</v>
      </c>
      <c r="O26" s="5">
        <v>73.1</v>
      </c>
      <c r="P26" s="5">
        <f>N26+O26</f>
        <v>474.79999999999995</v>
      </c>
      <c r="Q26" s="5">
        <v>443.1</v>
      </c>
      <c r="R26" s="5">
        <v>72.0</v>
      </c>
      <c r="S26" s="5">
        <v>121.8</v>
      </c>
      <c r="T26" s="5">
        <f>Q26+R26+S26</f>
        <v>636.9</v>
      </c>
      <c r="U26" s="5">
        <v>157.6</v>
      </c>
      <c r="V26" s="6">
        <v>48.7</v>
      </c>
      <c r="W26" s="5">
        <f>U26+V26</f>
        <v>206.3</v>
      </c>
      <c r="X26" s="5">
        <f>P26+T26+W26</f>
        <v>1318.0</v>
      </c>
      <c r="Y26" s="3" t="s">
        <v>50</v>
      </c>
      <c r="Z26" s="3" t="s">
        <v>1199</v>
      </c>
    </row>
    <row r="27" spans="8:8" ht="18.75" customHeight="1">
      <c r="A27" s="7" t="s">
        <v>263</v>
      </c>
      <c r="B27" s="8" t="s">
        <v>211</v>
      </c>
      <c r="C27" s="8" t="s">
        <v>264</v>
      </c>
      <c r="D27" s="8" t="s">
        <v>266</v>
      </c>
      <c r="E27" s="8" t="s">
        <v>268</v>
      </c>
      <c r="F27" s="11">
        <v>4.0</v>
      </c>
      <c r="G27" s="11">
        <v>5.4</v>
      </c>
      <c r="H27" s="11">
        <v>2.1</v>
      </c>
      <c r="I27" s="11">
        <f>G27-H27</f>
        <v>3.3000000000000003</v>
      </c>
      <c r="J27" s="11">
        <v>3.75</v>
      </c>
      <c r="K27" s="10">
        <v>132.0</v>
      </c>
      <c r="L27" s="11">
        <v>29.0</v>
      </c>
      <c r="M27" s="10">
        <f>K27+L27</f>
        <v>161.0</v>
      </c>
      <c r="N27" s="10">
        <v>651.0</v>
      </c>
      <c r="O27" s="11">
        <v>43.5</v>
      </c>
      <c r="P27" s="10">
        <f>N27+O27</f>
        <v>694.5</v>
      </c>
      <c r="Q27" s="10">
        <v>452.1</v>
      </c>
      <c r="R27" s="10">
        <v>78.8</v>
      </c>
      <c r="S27" s="10">
        <v>72.5</v>
      </c>
      <c r="T27" s="10">
        <f>Q27+R27+S27</f>
        <v>603.4</v>
      </c>
      <c r="U27" s="10">
        <v>148.9</v>
      </c>
      <c r="V27" s="11">
        <v>29.0</v>
      </c>
      <c r="W27" s="10">
        <f>U27+V27</f>
        <v>177.9</v>
      </c>
      <c r="X27" s="10">
        <f>P27+T27+W27</f>
        <v>1475.8000000000002</v>
      </c>
      <c r="Y27" s="8" t="s">
        <v>50</v>
      </c>
      <c r="Z27" s="8" t="s">
        <v>1199</v>
      </c>
    </row>
    <row r="28" spans="8:8" ht="18.75" customHeight="1">
      <c r="A28" s="2" t="s">
        <v>272</v>
      </c>
      <c r="B28" s="3" t="s">
        <v>273</v>
      </c>
      <c r="C28" s="3" t="s">
        <v>274</v>
      </c>
      <c r="D28" s="3" t="s">
        <v>277</v>
      </c>
      <c r="E28" s="3" t="s">
        <v>280</v>
      </c>
      <c r="F28" s="6">
        <v>4.5</v>
      </c>
      <c r="G28" s="6">
        <v>12.4</v>
      </c>
      <c r="H28" s="6">
        <v>5.8</v>
      </c>
      <c r="I28" s="6">
        <f>G28-H28</f>
        <v>6.6000000000000005</v>
      </c>
      <c r="J28" s="6">
        <v>9.1</v>
      </c>
      <c r="K28" s="5">
        <v>297.0</v>
      </c>
      <c r="L28" s="5">
        <v>65.3</v>
      </c>
      <c r="M28" s="5">
        <f>K28+L28</f>
        <v>362.3</v>
      </c>
      <c r="N28" s="5">
        <v>476.9</v>
      </c>
      <c r="O28" s="5">
        <v>97.8</v>
      </c>
      <c r="P28" s="5">
        <f>N28+O28</f>
        <v>574.6999999999999</v>
      </c>
      <c r="Q28" s="5">
        <v>77.0</v>
      </c>
      <c r="R28" s="5">
        <v>72.0</v>
      </c>
      <c r="S28" s="5">
        <v>163.1</v>
      </c>
      <c r="T28" s="5">
        <f>Q28+R28+S28</f>
        <v>312.1</v>
      </c>
      <c r="U28" s="6">
        <v>35.8</v>
      </c>
      <c r="V28" s="5">
        <v>65.2</v>
      </c>
      <c r="W28" s="5">
        <f>U28+V28</f>
        <v>101.0</v>
      </c>
      <c r="X28" s="5">
        <f>P28+T28+W28</f>
        <v>987.8</v>
      </c>
      <c r="Y28" s="3" t="s">
        <v>50</v>
      </c>
      <c r="Z28" s="3" t="s">
        <v>1199</v>
      </c>
    </row>
    <row r="29" spans="8:8" ht="18.75" customHeight="1">
      <c r="A29" s="7" t="s">
        <v>281</v>
      </c>
      <c r="B29" s="8" t="s">
        <v>273</v>
      </c>
      <c r="C29" s="8" t="s">
        <v>282</v>
      </c>
      <c r="D29" s="8" t="s">
        <v>284</v>
      </c>
      <c r="E29" s="8" t="s">
        <v>285</v>
      </c>
      <c r="F29" s="11">
        <v>4.0</v>
      </c>
      <c r="G29" s="11">
        <v>13.8</v>
      </c>
      <c r="H29" s="11">
        <v>7.4</v>
      </c>
      <c r="I29" s="11">
        <f>G29-H29</f>
        <v>6.4</v>
      </c>
      <c r="J29" s="11">
        <v>10.6</v>
      </c>
      <c r="K29" s="10">
        <v>256.0</v>
      </c>
      <c r="L29" s="10">
        <v>56.3</v>
      </c>
      <c r="M29" s="10">
        <f>K29+L29</f>
        <v>312.3</v>
      </c>
      <c r="N29" s="10">
        <v>351.9</v>
      </c>
      <c r="O29" s="10">
        <v>84.3</v>
      </c>
      <c r="P29" s="10">
        <f>N29+O29</f>
        <v>436.2</v>
      </c>
      <c r="Q29" s="10">
        <v>86.8</v>
      </c>
      <c r="R29" s="10">
        <v>83.2</v>
      </c>
      <c r="S29" s="10">
        <v>140.6</v>
      </c>
      <c r="T29" s="10">
        <f>Q29+R29+S29</f>
        <v>310.6</v>
      </c>
      <c r="U29" s="11">
        <v>33.4</v>
      </c>
      <c r="V29" s="10">
        <v>56.2</v>
      </c>
      <c r="W29" s="10">
        <f>U29+V29</f>
        <v>89.6</v>
      </c>
      <c r="X29" s="10">
        <f>P29+T29+W29</f>
        <v>836.4</v>
      </c>
      <c r="Y29" s="8" t="s">
        <v>50</v>
      </c>
      <c r="Z29" s="8" t="s">
        <v>1199</v>
      </c>
    </row>
    <row r="30" spans="8:8" ht="18.75" customHeight="1">
      <c r="A30" s="2" t="s">
        <v>286</v>
      </c>
      <c r="B30" s="3" t="s">
        <v>273</v>
      </c>
      <c r="C30" s="3" t="s">
        <v>287</v>
      </c>
      <c r="D30" s="3" t="s">
        <v>289</v>
      </c>
      <c r="E30" s="3" t="s">
        <v>292</v>
      </c>
      <c r="F30" s="6">
        <v>3.5</v>
      </c>
      <c r="G30" s="6">
        <v>18.2</v>
      </c>
      <c r="H30" s="6">
        <v>11.5</v>
      </c>
      <c r="I30" s="6">
        <f>G30-H30</f>
        <v>6.699999999999999</v>
      </c>
      <c r="J30" s="6">
        <v>14.85</v>
      </c>
      <c r="K30" s="5">
        <v>234.5</v>
      </c>
      <c r="L30" s="5">
        <v>51.6</v>
      </c>
      <c r="M30" s="5">
        <f>K30+L30</f>
        <v>286.1</v>
      </c>
      <c r="N30" s="5">
        <v>259.2</v>
      </c>
      <c r="O30" s="5">
        <v>64.4</v>
      </c>
      <c r="P30" s="5">
        <f>N30+O30</f>
        <v>323.6</v>
      </c>
      <c r="Q30" s="5">
        <v>101.2</v>
      </c>
      <c r="R30" s="6">
        <v>35.0</v>
      </c>
      <c r="S30" s="5">
        <v>107.3</v>
      </c>
      <c r="T30" s="5">
        <f>Q30+R30+S30</f>
        <v>243.5</v>
      </c>
      <c r="U30" s="6">
        <v>49.3</v>
      </c>
      <c r="V30" s="6">
        <v>42.9</v>
      </c>
      <c r="W30" s="5">
        <f>U30+V30</f>
        <v>92.19999999999999</v>
      </c>
      <c r="X30" s="5">
        <f>P30+T30+W30</f>
        <v>659.3000000000001</v>
      </c>
      <c r="Y30" s="3" t="s">
        <v>106</v>
      </c>
      <c r="Z30" s="3" t="s">
        <v>1200</v>
      </c>
    </row>
    <row r="31" spans="8:8" ht="18.75" customHeight="1">
      <c r="A31" s="7" t="s">
        <v>293</v>
      </c>
      <c r="B31" s="8" t="s">
        <v>273</v>
      </c>
      <c r="C31" s="8" t="s">
        <v>294</v>
      </c>
      <c r="D31" s="8" t="s">
        <v>297</v>
      </c>
      <c r="E31" s="8" t="s">
        <v>300</v>
      </c>
      <c r="F31" s="11">
        <v>3.0</v>
      </c>
      <c r="G31" s="11">
        <v>23.5</v>
      </c>
      <c r="H31" s="11">
        <v>16.2</v>
      </c>
      <c r="I31" s="11">
        <f>G31-H31</f>
        <v>7.300000000000001</v>
      </c>
      <c r="J31" s="11">
        <v>19.85</v>
      </c>
      <c r="K31" s="10">
        <v>219.0</v>
      </c>
      <c r="L31" s="11">
        <v>48.2</v>
      </c>
      <c r="M31" s="10">
        <f>K31+L31</f>
        <v>267.2</v>
      </c>
      <c r="N31" s="10">
        <v>230.5</v>
      </c>
      <c r="O31" s="11">
        <v>44.1</v>
      </c>
      <c r="P31" s="10">
        <f>N31+O31</f>
        <v>274.6</v>
      </c>
      <c r="Q31" s="10">
        <v>122.6</v>
      </c>
      <c r="R31" s="11">
        <v>25.0</v>
      </c>
      <c r="S31" s="10">
        <v>73.5</v>
      </c>
      <c r="T31" s="10">
        <f>Q31+R31+S31</f>
        <v>221.1</v>
      </c>
      <c r="U31" s="10">
        <v>72.0</v>
      </c>
      <c r="V31" s="11">
        <v>29.4</v>
      </c>
      <c r="W31" s="10">
        <f>U31+V31</f>
        <v>101.4</v>
      </c>
      <c r="X31" s="10">
        <f>P31+T31+W31</f>
        <v>597.1</v>
      </c>
      <c r="Y31" s="8" t="s">
        <v>147</v>
      </c>
      <c r="Z31" s="8" t="s">
        <v>1201</v>
      </c>
    </row>
    <row r="32" spans="8:8" ht="18.75" customHeight="1">
      <c r="A32" s="2" t="s">
        <v>301</v>
      </c>
      <c r="B32" s="3" t="s">
        <v>273</v>
      </c>
      <c r="C32" s="3" t="s">
        <v>302</v>
      </c>
      <c r="D32" s="3" t="s">
        <v>304</v>
      </c>
      <c r="E32" s="3" t="s">
        <v>308</v>
      </c>
      <c r="F32" s="6">
        <v>2.8</v>
      </c>
      <c r="G32" s="6">
        <v>28.4</v>
      </c>
      <c r="H32" s="6">
        <v>21.0</v>
      </c>
      <c r="I32" s="6">
        <f>G32-H32</f>
        <v>7.399999999999999</v>
      </c>
      <c r="J32" s="6">
        <v>24.7</v>
      </c>
      <c r="K32" s="5">
        <v>207.2</v>
      </c>
      <c r="L32" s="6">
        <v>45.6</v>
      </c>
      <c r="M32" s="5">
        <f>K32+L32</f>
        <v>252.79999999999998</v>
      </c>
      <c r="N32" s="5">
        <v>280.2</v>
      </c>
      <c r="O32" s="6">
        <v>26.6</v>
      </c>
      <c r="P32" s="5">
        <f>N32+O32</f>
        <v>306.8</v>
      </c>
      <c r="Q32" s="5">
        <v>171.7</v>
      </c>
      <c r="R32" s="6">
        <v>26.0</v>
      </c>
      <c r="S32" s="6">
        <v>44.2</v>
      </c>
      <c r="T32" s="5">
        <f>Q32+R32+S32</f>
        <v>241.89999999999998</v>
      </c>
      <c r="U32" s="5">
        <v>85.5</v>
      </c>
      <c r="V32" s="6">
        <v>17.7</v>
      </c>
      <c r="W32" s="5">
        <f>U32+V32</f>
        <v>103.2</v>
      </c>
      <c r="X32" s="5">
        <f>P32+T32+W32</f>
        <v>651.9000000000001</v>
      </c>
      <c r="Y32" s="3" t="s">
        <v>238</v>
      </c>
      <c r="Z32" s="3" t="s">
        <v>1201</v>
      </c>
    </row>
    <row r="33" spans="8:8" ht="18.75" customHeight="1">
      <c r="A33" s="7" t="s">
        <v>312</v>
      </c>
      <c r="B33" s="8" t="s">
        <v>273</v>
      </c>
      <c r="C33" s="8" t="s">
        <v>313</v>
      </c>
      <c r="D33" s="8" t="s">
        <v>315</v>
      </c>
      <c r="E33" s="8" t="s">
        <v>318</v>
      </c>
      <c r="F33" s="11">
        <v>4.2</v>
      </c>
      <c r="G33" s="11">
        <v>11.8</v>
      </c>
      <c r="H33" s="11">
        <v>6.2</v>
      </c>
      <c r="I33" s="11">
        <f>G33-H33</f>
        <v>5.6000000000000005</v>
      </c>
      <c r="J33" s="11">
        <v>9.0</v>
      </c>
      <c r="K33" s="10">
        <v>235.2</v>
      </c>
      <c r="L33" s="10">
        <v>51.7</v>
      </c>
      <c r="M33" s="10">
        <f>K33+L33</f>
        <v>286.9</v>
      </c>
      <c r="N33" s="10">
        <v>250.6</v>
      </c>
      <c r="O33" s="10">
        <v>77.5</v>
      </c>
      <c r="P33" s="10">
        <f>N33+O33</f>
        <v>328.1</v>
      </c>
      <c r="Q33" s="10">
        <v>154.7</v>
      </c>
      <c r="R33" s="11">
        <v>29.0</v>
      </c>
      <c r="S33" s="10">
        <v>129.1</v>
      </c>
      <c r="T33" s="10">
        <f>Q33+R33+S33</f>
        <v>312.79999999999995</v>
      </c>
      <c r="U33" s="10">
        <v>113.5</v>
      </c>
      <c r="V33" s="10">
        <v>51.6</v>
      </c>
      <c r="W33" s="10">
        <f>U33+V33</f>
        <v>165.1</v>
      </c>
      <c r="X33" s="10">
        <f>P33+T33+W33</f>
        <v>806.0</v>
      </c>
      <c r="Y33" s="8" t="s">
        <v>50</v>
      </c>
      <c r="Z33" s="8" t="s">
        <v>1199</v>
      </c>
    </row>
    <row r="34" spans="8:8" ht="18.75" customHeight="1">
      <c r="A34" s="2" t="s">
        <v>322</v>
      </c>
      <c r="B34" s="3" t="s">
        <v>273</v>
      </c>
      <c r="C34" s="3" t="s">
        <v>323</v>
      </c>
      <c r="D34" s="3" t="s">
        <v>325</v>
      </c>
      <c r="E34" s="3" t="s">
        <v>328</v>
      </c>
      <c r="F34" s="6">
        <v>3.8</v>
      </c>
      <c r="G34" s="6">
        <v>10.5</v>
      </c>
      <c r="H34" s="6">
        <v>4.9</v>
      </c>
      <c r="I34" s="6">
        <f>G34-H34</f>
        <v>5.6</v>
      </c>
      <c r="J34" s="6">
        <v>7.7</v>
      </c>
      <c r="K34" s="5">
        <v>212.8</v>
      </c>
      <c r="L34" s="6">
        <v>46.8</v>
      </c>
      <c r="M34" s="5">
        <f>K34+L34</f>
        <v>259.6</v>
      </c>
      <c r="N34" s="5">
        <v>404.7</v>
      </c>
      <c r="O34" s="5">
        <v>70.1</v>
      </c>
      <c r="P34" s="5">
        <f>N34+O34</f>
        <v>474.79999999999995</v>
      </c>
      <c r="Q34" s="5">
        <v>130.5</v>
      </c>
      <c r="R34" s="5">
        <v>67.5</v>
      </c>
      <c r="S34" s="5">
        <v>116.8</v>
      </c>
      <c r="T34" s="5">
        <f>Q34+R34+S34</f>
        <v>314.8</v>
      </c>
      <c r="U34" s="5">
        <v>102.5</v>
      </c>
      <c r="V34" s="6">
        <v>46.7</v>
      </c>
      <c r="W34" s="5">
        <f>U34+V34</f>
        <v>149.2</v>
      </c>
      <c r="X34" s="5">
        <f>P34+T34+W34</f>
        <v>938.8</v>
      </c>
      <c r="Y34" s="3" t="s">
        <v>50</v>
      </c>
      <c r="Z34" s="3" t="s">
        <v>1199</v>
      </c>
    </row>
    <row r="35" spans="8:8" ht="18.75" customHeight="1">
      <c r="A35" s="7" t="s">
        <v>329</v>
      </c>
      <c r="B35" s="8" t="s">
        <v>273</v>
      </c>
      <c r="C35" s="8" t="s">
        <v>330</v>
      </c>
      <c r="D35" s="8" t="s">
        <v>332</v>
      </c>
      <c r="E35" s="8" t="s">
        <v>333</v>
      </c>
      <c r="F35" s="11">
        <v>4.0</v>
      </c>
      <c r="G35" s="11">
        <v>13.2</v>
      </c>
      <c r="H35" s="11">
        <v>6.8</v>
      </c>
      <c r="I35" s="11">
        <f>G35-H35</f>
        <v>6.3999999999999995</v>
      </c>
      <c r="J35" s="11">
        <v>10.0</v>
      </c>
      <c r="K35" s="10">
        <v>256.0</v>
      </c>
      <c r="L35" s="10">
        <v>56.3</v>
      </c>
      <c r="M35" s="10">
        <f>K35+L35</f>
        <v>312.3</v>
      </c>
      <c r="N35" s="10">
        <v>360.9</v>
      </c>
      <c r="O35" s="10">
        <v>84.3</v>
      </c>
      <c r="P35" s="10">
        <f>N35+O35</f>
        <v>445.2</v>
      </c>
      <c r="Q35" s="10">
        <v>111.2</v>
      </c>
      <c r="R35" s="10">
        <v>74.2</v>
      </c>
      <c r="S35" s="10">
        <v>140.6</v>
      </c>
      <c r="T35" s="10">
        <f>Q35+R35+S35</f>
        <v>326.0</v>
      </c>
      <c r="U35" s="10">
        <v>71.0</v>
      </c>
      <c r="V35" s="10">
        <v>56.2</v>
      </c>
      <c r="W35" s="10">
        <f>U35+V35</f>
        <v>127.2</v>
      </c>
      <c r="X35" s="10">
        <f>P35+T35+W35</f>
        <v>898.4000000000001</v>
      </c>
      <c r="Y35" s="8" t="s">
        <v>50</v>
      </c>
      <c r="Z35" s="8" t="s">
        <v>1199</v>
      </c>
    </row>
    <row r="36" spans="8:8" ht="18.75" customHeight="1">
      <c r="A36" s="2" t="s">
        <v>334</v>
      </c>
      <c r="B36" s="3" t="s">
        <v>273</v>
      </c>
      <c r="C36" s="3" t="s">
        <v>335</v>
      </c>
      <c r="D36" s="3" t="s">
        <v>337</v>
      </c>
      <c r="E36" s="3" t="s">
        <v>339</v>
      </c>
      <c r="F36" s="6">
        <v>4.5</v>
      </c>
      <c r="G36" s="6">
        <v>7.2</v>
      </c>
      <c r="H36" s="6">
        <v>2.5</v>
      </c>
      <c r="I36" s="6">
        <f>G36-H36</f>
        <v>4.7</v>
      </c>
      <c r="J36" s="6">
        <v>4.85</v>
      </c>
      <c r="K36" s="5">
        <v>211.5</v>
      </c>
      <c r="L36" s="6">
        <v>46.5</v>
      </c>
      <c r="M36" s="5">
        <f>K36+L36</f>
        <v>258.0</v>
      </c>
      <c r="N36" s="5">
        <v>1271.0</v>
      </c>
      <c r="O36" s="5">
        <v>69.7</v>
      </c>
      <c r="P36" s="5">
        <f>N36+O36</f>
        <v>1340.7</v>
      </c>
      <c r="Q36" s="5">
        <v>167.0</v>
      </c>
      <c r="R36" s="5">
        <v>76.5</v>
      </c>
      <c r="S36" s="5">
        <v>116.1</v>
      </c>
      <c r="T36" s="5">
        <f>Q36+R36+S36</f>
        <v>359.6</v>
      </c>
      <c r="U36" s="5">
        <v>93.4</v>
      </c>
      <c r="V36" s="6">
        <v>46.4</v>
      </c>
      <c r="W36" s="5">
        <f>U36+V36</f>
        <v>139.8</v>
      </c>
      <c r="X36" s="5">
        <f>P36+T36+W36</f>
        <v>1840.1</v>
      </c>
      <c r="Y36" s="3" t="s">
        <v>50</v>
      </c>
      <c r="Z36" s="3" t="s">
        <v>1199</v>
      </c>
    </row>
    <row r="37" spans="8:8" ht="18.75" customHeight="1">
      <c r="A37" s="7" t="s">
        <v>340</v>
      </c>
      <c r="B37" s="8" t="s">
        <v>273</v>
      </c>
      <c r="C37" s="8" t="s">
        <v>341</v>
      </c>
      <c r="D37" s="8" t="s">
        <v>344</v>
      </c>
      <c r="E37" s="8" t="s">
        <v>347</v>
      </c>
      <c r="F37" s="11">
        <v>7.0</v>
      </c>
      <c r="G37" s="11">
        <v>6.8</v>
      </c>
      <c r="H37" s="11">
        <v>2.2</v>
      </c>
      <c r="I37" s="11">
        <f>G37-H37</f>
        <v>4.6</v>
      </c>
      <c r="J37" s="11">
        <v>4.5</v>
      </c>
      <c r="K37" s="10">
        <v>322.0</v>
      </c>
      <c r="L37" s="10">
        <v>70.8</v>
      </c>
      <c r="M37" s="10">
        <f>K37+L37</f>
        <v>392.8</v>
      </c>
      <c r="N37" s="10">
        <v>2012.5</v>
      </c>
      <c r="O37" s="10">
        <v>106.0</v>
      </c>
      <c r="P37" s="10">
        <f>N37+O37</f>
        <v>2118.5</v>
      </c>
      <c r="Q37" s="10">
        <v>216.8</v>
      </c>
      <c r="R37" s="10">
        <v>63.0</v>
      </c>
      <c r="S37" s="10">
        <v>176.8</v>
      </c>
      <c r="T37" s="10">
        <f>Q37+R37+S37</f>
        <v>456.6</v>
      </c>
      <c r="U37" s="10">
        <v>107.2</v>
      </c>
      <c r="V37" s="10">
        <v>70.7</v>
      </c>
      <c r="W37" s="10">
        <f>U37+V37</f>
        <v>177.9</v>
      </c>
      <c r="X37" s="10">
        <f>P37+T37+W37</f>
        <v>2753.0</v>
      </c>
      <c r="Y37" s="8" t="s">
        <v>50</v>
      </c>
      <c r="Z37" s="8" t="s">
        <v>1199</v>
      </c>
    </row>
    <row r="38" spans="8:8" ht="18.75" customHeight="1">
      <c r="A38" s="2" t="s">
        <v>348</v>
      </c>
      <c r="B38" s="3" t="s">
        <v>349</v>
      </c>
      <c r="C38" s="3" t="s">
        <v>350</v>
      </c>
      <c r="D38" s="3" t="s">
        <v>353</v>
      </c>
      <c r="E38" s="3" t="s">
        <v>356</v>
      </c>
      <c r="F38" s="6">
        <v>6.5</v>
      </c>
      <c r="G38" s="6">
        <v>7.4</v>
      </c>
      <c r="H38" s="6">
        <v>2.8</v>
      </c>
      <c r="I38" s="6">
        <f>G38-H38</f>
        <v>4.6000000000000005</v>
      </c>
      <c r="J38" s="6">
        <v>5.1</v>
      </c>
      <c r="K38" s="5">
        <v>299.0</v>
      </c>
      <c r="L38" s="5">
        <v>65.8</v>
      </c>
      <c r="M38" s="5">
        <f>K38+L38</f>
        <v>364.8</v>
      </c>
      <c r="N38" s="5">
        <v>1791.0</v>
      </c>
      <c r="O38" s="5">
        <v>98.5</v>
      </c>
      <c r="P38" s="5">
        <f>N38+O38</f>
        <v>1889.5</v>
      </c>
      <c r="Q38" s="5">
        <v>292.6</v>
      </c>
      <c r="R38" s="5">
        <v>65.2</v>
      </c>
      <c r="S38" s="5">
        <v>164.2</v>
      </c>
      <c r="T38" s="5">
        <f>Q38+R38+S38</f>
        <v>522.0</v>
      </c>
      <c r="U38" s="5">
        <v>159.3</v>
      </c>
      <c r="V38" s="5">
        <v>65.7</v>
      </c>
      <c r="W38" s="5">
        <f>U38+V38</f>
        <v>225.0</v>
      </c>
      <c r="X38" s="5">
        <f>P38+T38+W38</f>
        <v>2636.5</v>
      </c>
      <c r="Y38" s="3" t="s">
        <v>50</v>
      </c>
      <c r="Z38" s="3" t="s">
        <v>1199</v>
      </c>
    </row>
    <row r="39" spans="8:8" ht="18.75" customHeight="1">
      <c r="A39" s="7" t="s">
        <v>357</v>
      </c>
      <c r="B39" s="8" t="s">
        <v>349</v>
      </c>
      <c r="C39" s="8" t="s">
        <v>358</v>
      </c>
      <c r="D39" s="8" t="s">
        <v>360</v>
      </c>
      <c r="E39" s="8" t="s">
        <v>362</v>
      </c>
      <c r="F39" s="11">
        <v>7.5</v>
      </c>
      <c r="G39" s="11">
        <v>8.2</v>
      </c>
      <c r="H39" s="11">
        <v>3.4</v>
      </c>
      <c r="I39" s="11">
        <f>G39-H39</f>
        <v>4.799999999999999</v>
      </c>
      <c r="J39" s="11">
        <v>5.8</v>
      </c>
      <c r="K39" s="10">
        <v>360.0</v>
      </c>
      <c r="L39" s="10">
        <v>79.2</v>
      </c>
      <c r="M39" s="10">
        <f>K39+L39</f>
        <v>439.2</v>
      </c>
      <c r="N39" s="10">
        <v>1329.1</v>
      </c>
      <c r="O39" s="10">
        <v>118.6</v>
      </c>
      <c r="P39" s="10">
        <f>N39+O39</f>
        <v>1447.6999999999998</v>
      </c>
      <c r="Q39" s="10">
        <v>336.8</v>
      </c>
      <c r="R39" s="10">
        <v>69.8</v>
      </c>
      <c r="S39" s="10">
        <v>197.7</v>
      </c>
      <c r="T39" s="10">
        <f>Q39+R39+S39</f>
        <v>604.3</v>
      </c>
      <c r="U39" s="10">
        <v>166.4</v>
      </c>
      <c r="V39" s="10">
        <v>79.1</v>
      </c>
      <c r="W39" s="10">
        <f>U39+V39</f>
        <v>245.5</v>
      </c>
      <c r="X39" s="10">
        <f>P39+T39+W39</f>
        <v>2297.5</v>
      </c>
      <c r="Y39" s="8" t="s">
        <v>50</v>
      </c>
      <c r="Z39" s="8" t="s">
        <v>1199</v>
      </c>
    </row>
    <row r="40" spans="8:8" ht="18.75" customHeight="1">
      <c r="A40" s="2" t="s">
        <v>366</v>
      </c>
      <c r="B40" s="3" t="s">
        <v>349</v>
      </c>
      <c r="C40" s="3" t="s">
        <v>367</v>
      </c>
      <c r="D40" s="3" t="s">
        <v>369</v>
      </c>
      <c r="E40" s="3" t="s">
        <v>371</v>
      </c>
      <c r="F40" s="6">
        <v>8.0</v>
      </c>
      <c r="G40" s="6">
        <v>7.8</v>
      </c>
      <c r="H40" s="6">
        <v>3.2</v>
      </c>
      <c r="I40" s="6">
        <f>G40-H40</f>
        <v>4.6</v>
      </c>
      <c r="J40" s="6">
        <v>5.5</v>
      </c>
      <c r="K40" s="5">
        <v>368.0</v>
      </c>
      <c r="L40" s="5">
        <v>81.0</v>
      </c>
      <c r="M40" s="5">
        <f>K40+L40</f>
        <v>449.0</v>
      </c>
      <c r="N40" s="5">
        <v>948.5</v>
      </c>
      <c r="O40" s="5">
        <v>121.2</v>
      </c>
      <c r="P40" s="5">
        <f>N40+O40</f>
        <v>1069.7</v>
      </c>
      <c r="Q40" s="5">
        <v>453.3</v>
      </c>
      <c r="R40" s="5">
        <v>67.5</v>
      </c>
      <c r="S40" s="5">
        <v>202.1</v>
      </c>
      <c r="T40" s="5">
        <f>Q40+R40+S40</f>
        <v>722.9</v>
      </c>
      <c r="U40" s="5">
        <v>227.8</v>
      </c>
      <c r="V40" s="5">
        <v>80.8</v>
      </c>
      <c r="W40" s="5">
        <f>U40+V40</f>
        <v>308.6</v>
      </c>
      <c r="X40" s="5">
        <f>P40+T40+W40</f>
        <v>2101.2</v>
      </c>
      <c r="Y40" s="3" t="s">
        <v>50</v>
      </c>
      <c r="Z40" s="3" t="s">
        <v>1199</v>
      </c>
    </row>
    <row r="41" spans="8:8" ht="18.75" customHeight="1">
      <c r="A41" s="7" t="s">
        <v>372</v>
      </c>
      <c r="B41" s="8" t="s">
        <v>349</v>
      </c>
      <c r="C41" s="8" t="s">
        <v>373</v>
      </c>
      <c r="D41" s="8" t="s">
        <v>375</v>
      </c>
      <c r="E41" s="8" t="s">
        <v>379</v>
      </c>
      <c r="F41" s="11">
        <v>11.0</v>
      </c>
      <c r="G41" s="11">
        <v>2.5</v>
      </c>
      <c r="H41" s="11">
        <v>0.8</v>
      </c>
      <c r="I41" s="11">
        <f>G41-H41</f>
        <v>1.7</v>
      </c>
      <c r="J41" s="11">
        <v>1.65</v>
      </c>
      <c r="K41" s="10">
        <v>187.0</v>
      </c>
      <c r="L41" s="11">
        <v>41.1</v>
      </c>
      <c r="M41" s="10">
        <f>K41+L41</f>
        <v>228.1</v>
      </c>
      <c r="N41" s="10">
        <v>1368.3</v>
      </c>
      <c r="O41" s="10">
        <v>61.6</v>
      </c>
      <c r="P41" s="10">
        <f>N41+O41</f>
        <v>1429.8999999999999</v>
      </c>
      <c r="Q41" s="10">
        <v>431.2</v>
      </c>
      <c r="R41" s="10">
        <v>94.5</v>
      </c>
      <c r="S41" s="10">
        <v>102.7</v>
      </c>
      <c r="T41" s="10">
        <f>Q41+R41+S41</f>
        <v>628.4000000000001</v>
      </c>
      <c r="U41" s="10">
        <v>201.2</v>
      </c>
      <c r="V41" s="11">
        <v>41.1</v>
      </c>
      <c r="W41" s="10">
        <f>U41+V41</f>
        <v>242.29999999999998</v>
      </c>
      <c r="X41" s="10">
        <f>P41+T41+W41</f>
        <v>2300.6000000000004</v>
      </c>
      <c r="Y41" s="8" t="s">
        <v>50</v>
      </c>
      <c r="Z41" s="8" t="s">
        <v>1199</v>
      </c>
    </row>
    <row r="42" spans="8:8" ht="18.75" customHeight="1">
      <c r="A42" s="2" t="s">
        <v>383</v>
      </c>
      <c r="B42" s="3" t="s">
        <v>349</v>
      </c>
      <c r="C42" s="3" t="s">
        <v>384</v>
      </c>
      <c r="D42" s="3" t="s">
        <v>386</v>
      </c>
      <c r="E42" s="3" t="s">
        <v>390</v>
      </c>
      <c r="F42" s="6">
        <v>4.5</v>
      </c>
      <c r="G42" s="6">
        <v>6.2</v>
      </c>
      <c r="H42" s="6">
        <v>2.4</v>
      </c>
      <c r="I42" s="6">
        <f>G42-H42</f>
        <v>3.8000000000000003</v>
      </c>
      <c r="J42" s="6">
        <v>4.3</v>
      </c>
      <c r="K42" s="5">
        <v>171.0</v>
      </c>
      <c r="L42" s="6">
        <v>37.6</v>
      </c>
      <c r="M42" s="5">
        <f>K42+L42</f>
        <v>208.6</v>
      </c>
      <c r="N42" s="5">
        <v>1776.8</v>
      </c>
      <c r="O42" s="5">
        <v>56.3</v>
      </c>
      <c r="P42" s="5">
        <f>N42+O42</f>
        <v>1833.1</v>
      </c>
      <c r="Q42" s="5">
        <v>351.8</v>
      </c>
      <c r="R42" s="5">
        <v>81.0</v>
      </c>
      <c r="S42" s="5">
        <v>93.8</v>
      </c>
      <c r="T42" s="5">
        <f>Q42+R42+S42</f>
        <v>526.6</v>
      </c>
      <c r="U42" s="5">
        <v>187.6</v>
      </c>
      <c r="V42" s="6">
        <v>37.5</v>
      </c>
      <c r="W42" s="5">
        <f>U42+V42</f>
        <v>225.1</v>
      </c>
      <c r="X42" s="5">
        <f>P42+T42+W42</f>
        <v>2584.7999999999997</v>
      </c>
      <c r="Y42" s="3" t="s">
        <v>50</v>
      </c>
      <c r="Z42" s="3" t="s">
        <v>1199</v>
      </c>
    </row>
    <row r="43" spans="8:8" ht="18.75" customHeight="1">
      <c r="A43" s="7" t="s">
        <v>391</v>
      </c>
      <c r="B43" s="8" t="s">
        <v>392</v>
      </c>
      <c r="C43" s="8" t="s">
        <v>393</v>
      </c>
      <c r="D43" s="8" t="s">
        <v>396</v>
      </c>
      <c r="E43" s="8" t="s">
        <v>399</v>
      </c>
      <c r="F43" s="11">
        <v>4.5</v>
      </c>
      <c r="G43" s="11">
        <v>8.5</v>
      </c>
      <c r="H43" s="11">
        <v>2.8</v>
      </c>
      <c r="I43" s="11">
        <f>G43-H43</f>
        <v>5.7</v>
      </c>
      <c r="J43" s="11">
        <v>5.65</v>
      </c>
      <c r="K43" s="10">
        <v>256.5</v>
      </c>
      <c r="L43" s="10">
        <v>56.4</v>
      </c>
      <c r="M43" s="10">
        <f>K43+L43</f>
        <v>312.9</v>
      </c>
      <c r="N43" s="10">
        <v>1998.7</v>
      </c>
      <c r="O43" s="10">
        <v>84.5</v>
      </c>
      <c r="P43" s="10">
        <f>N43+O43</f>
        <v>2083.2</v>
      </c>
      <c r="Q43" s="10">
        <v>105.5</v>
      </c>
      <c r="R43" s="10">
        <v>63.0</v>
      </c>
      <c r="S43" s="10">
        <v>140.8</v>
      </c>
      <c r="T43" s="10">
        <f>Q43+R43+S43</f>
        <v>309.3</v>
      </c>
      <c r="U43" s="11">
        <v>32.8</v>
      </c>
      <c r="V43" s="10">
        <v>56.3</v>
      </c>
      <c r="W43" s="10">
        <f>U43+V43</f>
        <v>89.1</v>
      </c>
      <c r="X43" s="10">
        <f>P43+T43+W43</f>
        <v>2481.6</v>
      </c>
      <c r="Y43" s="8" t="s">
        <v>50</v>
      </c>
      <c r="Z43" s="8" t="s">
        <v>1199</v>
      </c>
    </row>
    <row r="44" spans="8:8" ht="18.75" customHeight="1">
      <c r="A44" s="2" t="s">
        <v>400</v>
      </c>
      <c r="B44" s="3" t="s">
        <v>392</v>
      </c>
      <c r="C44" s="3" t="s">
        <v>401</v>
      </c>
      <c r="D44" s="3" t="s">
        <v>403</v>
      </c>
      <c r="E44" s="3" t="s">
        <v>405</v>
      </c>
      <c r="F44" s="6">
        <v>5.0</v>
      </c>
      <c r="G44" s="6">
        <v>7.8</v>
      </c>
      <c r="H44" s="6">
        <v>2.6</v>
      </c>
      <c r="I44" s="6">
        <f>G44-H44</f>
        <v>5.199999999999999</v>
      </c>
      <c r="J44" s="6">
        <v>5.2</v>
      </c>
      <c r="K44" s="5">
        <v>260.0</v>
      </c>
      <c r="L44" s="5">
        <v>57.2</v>
      </c>
      <c r="M44" s="5">
        <f>K44+L44</f>
        <v>317.2</v>
      </c>
      <c r="N44" s="5">
        <v>1750.5</v>
      </c>
      <c r="O44" s="5">
        <v>85.6</v>
      </c>
      <c r="P44" s="5">
        <f>N44+O44</f>
        <v>1836.1</v>
      </c>
      <c r="Q44" s="5">
        <v>85.4</v>
      </c>
      <c r="R44" s="5">
        <v>69.8</v>
      </c>
      <c r="S44" s="5">
        <v>142.8</v>
      </c>
      <c r="T44" s="5">
        <f>Q44+R44+S44</f>
        <v>298.0</v>
      </c>
      <c r="U44" s="6">
        <v>15.2</v>
      </c>
      <c r="V44" s="5">
        <v>57.1</v>
      </c>
      <c r="W44" s="5">
        <f>U44+V44</f>
        <v>72.3</v>
      </c>
      <c r="X44" s="5">
        <f>P44+T44+W44</f>
        <v>2206.4</v>
      </c>
      <c r="Y44" s="3" t="s">
        <v>50</v>
      </c>
      <c r="Z44" s="3" t="s">
        <v>1199</v>
      </c>
    </row>
    <row r="45" spans="8:8" ht="18.75" customHeight="1">
      <c r="A45" s="7" t="s">
        <v>406</v>
      </c>
      <c r="B45" s="8" t="s">
        <v>392</v>
      </c>
      <c r="C45" s="8" t="s">
        <v>407</v>
      </c>
      <c r="D45" s="8" t="s">
        <v>411</v>
      </c>
      <c r="E45" s="8" t="s">
        <v>413</v>
      </c>
      <c r="F45" s="11">
        <v>3.0</v>
      </c>
      <c r="G45" s="11">
        <v>9.2</v>
      </c>
      <c r="H45" s="11">
        <v>2.1</v>
      </c>
      <c r="I45" s="11">
        <f>G45-H45</f>
        <v>7.1</v>
      </c>
      <c r="J45" s="11">
        <v>5.65</v>
      </c>
      <c r="K45" s="10">
        <v>213.0</v>
      </c>
      <c r="L45" s="11">
        <v>46.9</v>
      </c>
      <c r="M45" s="10">
        <f>K45+L45</f>
        <v>259.9</v>
      </c>
      <c r="N45" s="10">
        <v>2431.9</v>
      </c>
      <c r="O45" s="10">
        <v>70.2</v>
      </c>
      <c r="P45" s="10">
        <f>N45+O45</f>
        <v>2502.1</v>
      </c>
      <c r="Q45" s="10">
        <v>118.6</v>
      </c>
      <c r="R45" s="10">
        <v>65.2</v>
      </c>
      <c r="S45" s="10">
        <v>117.0</v>
      </c>
      <c r="T45" s="10">
        <f>Q45+R45+S45</f>
        <v>300.8</v>
      </c>
      <c r="U45" s="11">
        <v>21.1</v>
      </c>
      <c r="V45" s="11">
        <v>46.8</v>
      </c>
      <c r="W45" s="10">
        <f>U45+V45</f>
        <v>67.9</v>
      </c>
      <c r="X45" s="10">
        <f>P45+T45+W45</f>
        <v>2870.8</v>
      </c>
      <c r="Y45" s="8" t="s">
        <v>50</v>
      </c>
      <c r="Z45" s="8" t="s">
        <v>1199</v>
      </c>
    </row>
    <row r="46" spans="8:8" ht="18.75" customHeight="1">
      <c r="A46" s="2" t="s">
        <v>414</v>
      </c>
      <c r="B46" s="3" t="s">
        <v>392</v>
      </c>
      <c r="C46" s="3" t="s">
        <v>415</v>
      </c>
      <c r="D46" s="3" t="s">
        <v>417</v>
      </c>
      <c r="E46" s="3" t="s">
        <v>419</v>
      </c>
      <c r="F46" s="6">
        <v>4.5</v>
      </c>
      <c r="G46" s="6">
        <v>8.4</v>
      </c>
      <c r="H46" s="6">
        <v>3.5</v>
      </c>
      <c r="I46" s="6">
        <f>G46-H46</f>
        <v>4.9</v>
      </c>
      <c r="J46" s="6">
        <v>5.95</v>
      </c>
      <c r="K46" s="5">
        <v>220.5</v>
      </c>
      <c r="L46" s="6">
        <v>48.5</v>
      </c>
      <c r="M46" s="5">
        <f>K46+L46</f>
        <v>269.0</v>
      </c>
      <c r="N46" s="5">
        <v>597.4</v>
      </c>
      <c r="O46" s="5">
        <v>72.6</v>
      </c>
      <c r="P46" s="5">
        <f>N46+O46</f>
        <v>670.0</v>
      </c>
      <c r="Q46" s="5">
        <v>94.1</v>
      </c>
      <c r="R46" s="5">
        <v>76.5</v>
      </c>
      <c r="S46" s="5">
        <v>121.0</v>
      </c>
      <c r="T46" s="5">
        <f>Q46+R46+S46</f>
        <v>291.6</v>
      </c>
      <c r="U46" s="6">
        <v>29.3</v>
      </c>
      <c r="V46" s="6">
        <v>48.4</v>
      </c>
      <c r="W46" s="5">
        <f>U46+V46</f>
        <v>77.7</v>
      </c>
      <c r="X46" s="5">
        <f>P46+T46+W46</f>
        <v>1039.3</v>
      </c>
      <c r="Y46" s="3" t="s">
        <v>50</v>
      </c>
      <c r="Z46" s="3" t="s">
        <v>1199</v>
      </c>
    </row>
    <row r="47" spans="8:8" ht="18.75" customHeight="1">
      <c r="A47" s="7" t="s">
        <v>420</v>
      </c>
      <c r="B47" s="8" t="s">
        <v>392</v>
      </c>
      <c r="C47" s="8" t="s">
        <v>421</v>
      </c>
      <c r="D47" s="8" t="s">
        <v>423</v>
      </c>
      <c r="E47" s="8" t="s">
        <v>425</v>
      </c>
      <c r="F47" s="11">
        <v>2.8</v>
      </c>
      <c r="G47" s="11">
        <v>18.5</v>
      </c>
      <c r="H47" s="11">
        <v>10.8</v>
      </c>
      <c r="I47" s="11">
        <f>G47-H47</f>
        <v>7.699999999999999</v>
      </c>
      <c r="J47" s="11">
        <v>14.65</v>
      </c>
      <c r="K47" s="10">
        <v>215.6</v>
      </c>
      <c r="L47" s="11">
        <v>47.4</v>
      </c>
      <c r="M47" s="10">
        <f>K47+L47</f>
        <v>263.0</v>
      </c>
      <c r="N47" s="10">
        <v>267.8</v>
      </c>
      <c r="O47" s="10">
        <v>59.2</v>
      </c>
      <c r="P47" s="10">
        <f>N47+O47</f>
        <v>327.0</v>
      </c>
      <c r="Q47" s="10">
        <v>75.8</v>
      </c>
      <c r="R47" s="11">
        <v>27.0</v>
      </c>
      <c r="S47" s="10">
        <v>98.6</v>
      </c>
      <c r="T47" s="10">
        <f>Q47+R47+S47</f>
        <v>201.39999999999998</v>
      </c>
      <c r="U47" s="11">
        <v>26.1</v>
      </c>
      <c r="V47" s="11">
        <v>39.4</v>
      </c>
      <c r="W47" s="10">
        <f>U47+V47</f>
        <v>65.5</v>
      </c>
      <c r="X47" s="10">
        <f>P47+T47+W47</f>
        <v>593.9</v>
      </c>
      <c r="Y47" s="8" t="s">
        <v>106</v>
      </c>
      <c r="Z47" s="8" t="s">
        <v>1200</v>
      </c>
    </row>
    <row r="48" spans="8:8" ht="18.75" customHeight="1">
      <c r="A48" s="2" t="s">
        <v>426</v>
      </c>
      <c r="B48" s="3" t="s">
        <v>392</v>
      </c>
      <c r="C48" s="3" t="s">
        <v>427</v>
      </c>
      <c r="D48" s="3" t="s">
        <v>430</v>
      </c>
      <c r="E48" s="3" t="s">
        <v>431</v>
      </c>
      <c r="F48" s="6">
        <v>3.2</v>
      </c>
      <c r="G48" s="6">
        <v>15.6</v>
      </c>
      <c r="H48" s="6">
        <v>8.2</v>
      </c>
      <c r="I48" s="6">
        <f>G48-H48</f>
        <v>7.4</v>
      </c>
      <c r="J48" s="6">
        <v>11.9</v>
      </c>
      <c r="K48" s="5">
        <v>236.8</v>
      </c>
      <c r="L48" s="5">
        <v>52.1</v>
      </c>
      <c r="M48" s="5">
        <f>K48+L48</f>
        <v>288.90000000000003</v>
      </c>
      <c r="N48" s="5">
        <v>429.1</v>
      </c>
      <c r="O48" s="5">
        <v>65.0</v>
      </c>
      <c r="P48" s="5">
        <f>N48+O48</f>
        <v>494.1</v>
      </c>
      <c r="Q48" s="5">
        <v>74.1</v>
      </c>
      <c r="R48" s="5">
        <v>81.0</v>
      </c>
      <c r="S48" s="5">
        <v>108.3</v>
      </c>
      <c r="T48" s="5">
        <f>Q48+R48+S48</f>
        <v>263.4</v>
      </c>
      <c r="U48" s="6">
        <v>21.3</v>
      </c>
      <c r="V48" s="6">
        <v>43.3</v>
      </c>
      <c r="W48" s="5">
        <f>U48+V48</f>
        <v>64.6</v>
      </c>
      <c r="X48" s="5">
        <f>P48+T48+W48</f>
        <v>822.1</v>
      </c>
      <c r="Y48" s="3" t="s">
        <v>106</v>
      </c>
      <c r="Z48" s="3" t="s">
        <v>1200</v>
      </c>
    </row>
    <row r="49" spans="8:8" ht="18.75" customHeight="1">
      <c r="A49" s="7" t="s">
        <v>432</v>
      </c>
      <c r="B49" s="8" t="s">
        <v>392</v>
      </c>
      <c r="C49" s="8" t="s">
        <v>433</v>
      </c>
      <c r="D49" s="8" t="s">
        <v>435</v>
      </c>
      <c r="E49" s="8" t="s">
        <v>436</v>
      </c>
      <c r="F49" s="11">
        <v>4.0</v>
      </c>
      <c r="G49" s="11">
        <v>11.4</v>
      </c>
      <c r="H49" s="11">
        <v>5.1</v>
      </c>
      <c r="I49" s="11">
        <f>G49-H49</f>
        <v>6.300000000000001</v>
      </c>
      <c r="J49" s="11">
        <v>8.25</v>
      </c>
      <c r="K49" s="10">
        <v>252.0</v>
      </c>
      <c r="L49" s="10">
        <v>55.4</v>
      </c>
      <c r="M49" s="10">
        <f>K49+L49</f>
        <v>307.4</v>
      </c>
      <c r="N49" s="10">
        <v>534.8</v>
      </c>
      <c r="O49" s="10">
        <v>83.0</v>
      </c>
      <c r="P49" s="10">
        <f>N49+O49</f>
        <v>617.8</v>
      </c>
      <c r="Q49" s="10">
        <v>75.4</v>
      </c>
      <c r="R49" s="10">
        <v>87.8</v>
      </c>
      <c r="S49" s="10">
        <v>138.3</v>
      </c>
      <c r="T49" s="10">
        <f>Q49+R49+S49</f>
        <v>301.5</v>
      </c>
      <c r="U49" s="11">
        <v>19.2</v>
      </c>
      <c r="V49" s="10">
        <v>55.3</v>
      </c>
      <c r="W49" s="10">
        <f>U49+V49</f>
        <v>74.5</v>
      </c>
      <c r="X49" s="10">
        <f>P49+T49+W49</f>
        <v>993.8</v>
      </c>
      <c r="Y49" s="8" t="s">
        <v>50</v>
      </c>
      <c r="Z49" s="8" t="s">
        <v>1199</v>
      </c>
    </row>
    <row r="50" spans="8:8" ht="18.75" customHeight="1">
      <c r="A50" s="2" t="s">
        <v>437</v>
      </c>
      <c r="B50" s="3" t="s">
        <v>392</v>
      </c>
      <c r="C50" s="3" t="s">
        <v>438</v>
      </c>
      <c r="D50" s="3" t="s">
        <v>441</v>
      </c>
      <c r="E50" s="3" t="s">
        <v>444</v>
      </c>
      <c r="F50" s="6">
        <v>5.5</v>
      </c>
      <c r="G50" s="6">
        <v>10.8</v>
      </c>
      <c r="H50" s="6">
        <v>4.9</v>
      </c>
      <c r="I50" s="6">
        <f>G50-H50</f>
        <v>5.9</v>
      </c>
      <c r="J50" s="6">
        <v>7.85</v>
      </c>
      <c r="K50" s="5">
        <v>324.5</v>
      </c>
      <c r="L50" s="5">
        <v>71.4</v>
      </c>
      <c r="M50" s="5">
        <f>K50+L50</f>
        <v>395.9</v>
      </c>
      <c r="N50" s="5">
        <v>495.9</v>
      </c>
      <c r="O50" s="5">
        <v>106.9</v>
      </c>
      <c r="P50" s="5">
        <f>N50+O50</f>
        <v>602.8</v>
      </c>
      <c r="Q50" s="5">
        <v>62.9</v>
      </c>
      <c r="R50" s="5">
        <v>85.5</v>
      </c>
      <c r="S50" s="5">
        <v>178.2</v>
      </c>
      <c r="T50" s="5">
        <f>Q50+R50+S50</f>
        <v>326.6</v>
      </c>
      <c r="U50" s="6">
        <v>17.6</v>
      </c>
      <c r="V50" s="5">
        <v>71.3</v>
      </c>
      <c r="W50" s="5">
        <f>U50+V50</f>
        <v>88.9</v>
      </c>
      <c r="X50" s="5">
        <f>P50+T50+W50</f>
        <v>1018.3</v>
      </c>
      <c r="Y50" s="3" t="s">
        <v>50</v>
      </c>
      <c r="Z50" s="3" t="s">
        <v>1199</v>
      </c>
    </row>
    <row r="51" spans="8:8" ht="18.75" customHeight="1">
      <c r="A51" s="7" t="s">
        <v>445</v>
      </c>
      <c r="B51" s="8" t="s">
        <v>392</v>
      </c>
      <c r="C51" s="8" t="s">
        <v>446</v>
      </c>
      <c r="D51" s="8" t="s">
        <v>449</v>
      </c>
      <c r="E51" s="8" t="s">
        <v>450</v>
      </c>
      <c r="F51" s="11">
        <v>6.0</v>
      </c>
      <c r="G51" s="11">
        <v>7.6</v>
      </c>
      <c r="H51" s="11">
        <v>2.9</v>
      </c>
      <c r="I51" s="11">
        <f>G51-H51</f>
        <v>4.699999999999999</v>
      </c>
      <c r="J51" s="11">
        <v>5.25</v>
      </c>
      <c r="K51" s="10">
        <v>282.0</v>
      </c>
      <c r="L51" s="10">
        <v>62.0</v>
      </c>
      <c r="M51" s="10">
        <f>K51+L51</f>
        <v>344.0</v>
      </c>
      <c r="N51" s="10">
        <v>808.8</v>
      </c>
      <c r="O51" s="10">
        <v>92.9</v>
      </c>
      <c r="P51" s="10">
        <f>N51+O51</f>
        <v>901.6999999999999</v>
      </c>
      <c r="Q51" s="10">
        <v>90.2</v>
      </c>
      <c r="R51" s="10">
        <v>76.5</v>
      </c>
      <c r="S51" s="10">
        <v>154.8</v>
      </c>
      <c r="T51" s="10">
        <f>Q51+R51+S51</f>
        <v>321.5</v>
      </c>
      <c r="U51" s="11">
        <v>18.8</v>
      </c>
      <c r="V51" s="10">
        <v>61.9</v>
      </c>
      <c r="W51" s="10">
        <f>U51+V51</f>
        <v>80.7</v>
      </c>
      <c r="X51" s="10">
        <f>P51+T51+W51</f>
        <v>1303.9</v>
      </c>
      <c r="Y51" s="8" t="s">
        <v>50</v>
      </c>
      <c r="Z51" s="8" t="s">
        <v>1199</v>
      </c>
    </row>
    <row r="52" spans="8:8" ht="18.75" customHeight="1">
      <c r="A52" s="2" t="s">
        <v>451</v>
      </c>
      <c r="B52" s="3" t="s">
        <v>452</v>
      </c>
      <c r="C52" s="3" t="s">
        <v>453</v>
      </c>
      <c r="D52" s="3" t="s">
        <v>430</v>
      </c>
      <c r="E52" s="3" t="s">
        <v>458</v>
      </c>
      <c r="F52" s="6">
        <v>3.0</v>
      </c>
      <c r="G52" s="6">
        <v>16.8</v>
      </c>
      <c r="H52" s="6">
        <v>8.9</v>
      </c>
      <c r="I52" s="6">
        <f>G52-H52</f>
        <v>7.9</v>
      </c>
      <c r="J52" s="6">
        <v>12.85</v>
      </c>
      <c r="K52" s="5">
        <v>237.0</v>
      </c>
      <c r="L52" s="5">
        <v>52.1</v>
      </c>
      <c r="M52" s="5">
        <f>K52+L52</f>
        <v>289.1</v>
      </c>
      <c r="N52" s="5">
        <v>570.9</v>
      </c>
      <c r="O52" s="5">
        <v>65.0</v>
      </c>
      <c r="P52" s="5">
        <f>N52+O52</f>
        <v>635.9</v>
      </c>
      <c r="Q52" s="6">
        <v>48.4</v>
      </c>
      <c r="R52" s="5">
        <v>85.5</v>
      </c>
      <c r="S52" s="5">
        <v>108.4</v>
      </c>
      <c r="T52" s="5">
        <f>Q52+R52+S52</f>
        <v>242.3</v>
      </c>
      <c r="U52" s="6">
        <v>12.9</v>
      </c>
      <c r="V52" s="6">
        <v>43.4</v>
      </c>
      <c r="W52" s="5">
        <f>U52+V52</f>
        <v>56.3</v>
      </c>
      <c r="X52" s="5">
        <f>P52+T52+W52</f>
        <v>934.5</v>
      </c>
      <c r="Y52" s="3" t="s">
        <v>106</v>
      </c>
      <c r="Z52" s="3" t="s">
        <v>1200</v>
      </c>
    </row>
    <row r="53" spans="8:8" ht="18.75" customHeight="1">
      <c r="A53" s="7" t="s">
        <v>459</v>
      </c>
      <c r="B53" s="8" t="s">
        <v>452</v>
      </c>
      <c r="C53" s="8" t="s">
        <v>460</v>
      </c>
      <c r="D53" s="8" t="s">
        <v>463</v>
      </c>
      <c r="E53" s="8" t="s">
        <v>465</v>
      </c>
      <c r="F53" s="11">
        <v>4.5</v>
      </c>
      <c r="G53" s="11">
        <v>13.4</v>
      </c>
      <c r="H53" s="11">
        <v>6.5</v>
      </c>
      <c r="I53" s="11">
        <f>G53-H53</f>
        <v>6.9</v>
      </c>
      <c r="J53" s="11">
        <v>9.95</v>
      </c>
      <c r="K53" s="10">
        <v>310.5</v>
      </c>
      <c r="L53" s="10">
        <v>68.3</v>
      </c>
      <c r="M53" s="10">
        <f>K53+L53</f>
        <v>378.8</v>
      </c>
      <c r="N53" s="10">
        <v>484.3</v>
      </c>
      <c r="O53" s="10">
        <v>85.2</v>
      </c>
      <c r="P53" s="10">
        <f>N53+O53</f>
        <v>569.5</v>
      </c>
      <c r="Q53" s="11">
        <v>41.5</v>
      </c>
      <c r="R53" s="10">
        <v>78.8</v>
      </c>
      <c r="S53" s="10">
        <v>142.1</v>
      </c>
      <c r="T53" s="10">
        <f>Q53+R53+S53</f>
        <v>262.4</v>
      </c>
      <c r="U53" s="11">
        <v>16.6</v>
      </c>
      <c r="V53" s="10">
        <v>56.8</v>
      </c>
      <c r="W53" s="10">
        <f>U53+V53</f>
        <v>73.4</v>
      </c>
      <c r="X53" s="10">
        <f>P53+T53+W53</f>
        <v>905.3</v>
      </c>
      <c r="Y53" s="8" t="s">
        <v>106</v>
      </c>
      <c r="Z53" s="8" t="s">
        <v>1200</v>
      </c>
    </row>
    <row r="54" spans="8:8" ht="18.75" customHeight="1">
      <c r="A54" s="2" t="s">
        <v>466</v>
      </c>
      <c r="B54" s="3" t="s">
        <v>452</v>
      </c>
      <c r="C54" s="3" t="s">
        <v>467</v>
      </c>
      <c r="D54" s="3" t="s">
        <v>469</v>
      </c>
      <c r="E54" s="3" t="s">
        <v>470</v>
      </c>
      <c r="F54" s="6">
        <v>14.0</v>
      </c>
      <c r="G54" s="6">
        <v>8.2</v>
      </c>
      <c r="H54" s="6">
        <v>3.4</v>
      </c>
      <c r="I54" s="6">
        <f>G54-H54</f>
        <v>4.799999999999999</v>
      </c>
      <c r="J54" s="6">
        <v>5.8</v>
      </c>
      <c r="K54" s="5">
        <v>672.0</v>
      </c>
      <c r="L54" s="5">
        <v>147.8</v>
      </c>
      <c r="M54" s="5">
        <f>K54+L54</f>
        <v>819.8</v>
      </c>
      <c r="N54" s="5">
        <v>731.7</v>
      </c>
      <c r="O54" s="5">
        <v>221.3</v>
      </c>
      <c r="P54" s="5">
        <f>N54+O54</f>
        <v>953.0</v>
      </c>
      <c r="Q54" s="5">
        <v>71.8</v>
      </c>
      <c r="R54" s="5">
        <v>92.2</v>
      </c>
      <c r="S54" s="5">
        <v>368.9</v>
      </c>
      <c r="T54" s="5">
        <f>Q54+R54+S54</f>
        <v>532.9</v>
      </c>
      <c r="U54" s="6">
        <v>16.7</v>
      </c>
      <c r="V54" s="5">
        <v>147.6</v>
      </c>
      <c r="W54" s="5">
        <f>U54+V54</f>
        <v>164.29999999999998</v>
      </c>
      <c r="X54" s="5">
        <f>P54+T54+W54</f>
        <v>1650.2</v>
      </c>
      <c r="Y54" s="3" t="s">
        <v>50</v>
      </c>
      <c r="Z54" s="3" t="s">
        <v>1199</v>
      </c>
    </row>
    <row r="55" spans="8:8" ht="18.75" customHeight="1">
      <c r="A55" s="7" t="s">
        <v>474</v>
      </c>
      <c r="B55" s="8" t="s">
        <v>452</v>
      </c>
      <c r="C55" s="8" t="s">
        <v>475</v>
      </c>
      <c r="D55" s="8" t="s">
        <v>477</v>
      </c>
      <c r="E55" s="8" t="s">
        <v>480</v>
      </c>
      <c r="F55" s="11">
        <v>4.0</v>
      </c>
      <c r="G55" s="11">
        <v>11.6</v>
      </c>
      <c r="H55" s="11">
        <v>5.2</v>
      </c>
      <c r="I55" s="11">
        <f>G55-H55</f>
        <v>6.3999999999999995</v>
      </c>
      <c r="J55" s="11">
        <v>8.4</v>
      </c>
      <c r="K55" s="10">
        <v>256.0</v>
      </c>
      <c r="L55" s="10">
        <v>56.3</v>
      </c>
      <c r="M55" s="10">
        <f>K55+L55</f>
        <v>312.3</v>
      </c>
      <c r="N55" s="10">
        <v>686.9</v>
      </c>
      <c r="O55" s="10">
        <v>84.3</v>
      </c>
      <c r="P55" s="10">
        <f>N55+O55</f>
        <v>771.1999999999999</v>
      </c>
      <c r="Q55" s="10">
        <v>67.4</v>
      </c>
      <c r="R55" s="10">
        <v>83.2</v>
      </c>
      <c r="S55" s="10">
        <v>140.6</v>
      </c>
      <c r="T55" s="10">
        <f>Q55+R55+S55</f>
        <v>291.2</v>
      </c>
      <c r="U55" s="11">
        <v>15.7</v>
      </c>
      <c r="V55" s="10">
        <v>56.2</v>
      </c>
      <c r="W55" s="10">
        <f>U55+V55</f>
        <v>71.9</v>
      </c>
      <c r="X55" s="10">
        <f>P55+T55+W55</f>
        <v>1134.3000000000002</v>
      </c>
      <c r="Y55" s="8" t="s">
        <v>50</v>
      </c>
      <c r="Z55" s="8" t="s">
        <v>1199</v>
      </c>
    </row>
    <row r="56" spans="8:8" ht="18.75" customHeight="1">
      <c r="A56" s="2" t="s">
        <v>481</v>
      </c>
      <c r="B56" s="3" t="s">
        <v>452</v>
      </c>
      <c r="C56" s="3" t="s">
        <v>482</v>
      </c>
      <c r="D56" s="3" t="s">
        <v>484</v>
      </c>
      <c r="E56" s="3" t="s">
        <v>487</v>
      </c>
      <c r="F56" s="6">
        <v>11.0</v>
      </c>
      <c r="G56" s="6">
        <v>14.2</v>
      </c>
      <c r="H56" s="6">
        <v>7.8</v>
      </c>
      <c r="I56" s="6">
        <f>G56-H56</f>
        <v>6.3999999999999995</v>
      </c>
      <c r="J56" s="6">
        <v>11.0</v>
      </c>
      <c r="K56" s="5">
        <v>704.0</v>
      </c>
      <c r="L56" s="5">
        <v>154.9</v>
      </c>
      <c r="M56" s="5">
        <f>K56+L56</f>
        <v>858.9</v>
      </c>
      <c r="N56" s="5">
        <v>441.5</v>
      </c>
      <c r="O56" s="5">
        <v>231.9</v>
      </c>
      <c r="P56" s="5">
        <f>N56+O56</f>
        <v>673.4</v>
      </c>
      <c r="Q56" s="6">
        <v>49.3</v>
      </c>
      <c r="R56" s="5">
        <v>69.8</v>
      </c>
      <c r="S56" s="5">
        <v>386.5</v>
      </c>
      <c r="T56" s="5">
        <f>Q56+R56+S56</f>
        <v>505.6</v>
      </c>
      <c r="U56" s="6">
        <v>10.2</v>
      </c>
      <c r="V56" s="5">
        <v>154.6</v>
      </c>
      <c r="W56" s="5">
        <f>U56+V56</f>
        <v>164.79999999999998</v>
      </c>
      <c r="X56" s="5">
        <f>P56+T56+W56</f>
        <v>1343.8</v>
      </c>
      <c r="Y56" s="3" t="s">
        <v>50</v>
      </c>
      <c r="Z56" s="3" t="s">
        <v>1199</v>
      </c>
    </row>
    <row r="57" spans="8:8" ht="18.75" customHeight="1">
      <c r="A57" s="7" t="s">
        <v>492</v>
      </c>
      <c r="B57" s="8" t="s">
        <v>452</v>
      </c>
      <c r="C57" s="8" t="s">
        <v>493</v>
      </c>
      <c r="D57" s="8" t="s">
        <v>496</v>
      </c>
      <c r="E57" s="8" t="s">
        <v>499</v>
      </c>
      <c r="F57" s="11">
        <v>2.8</v>
      </c>
      <c r="G57" s="11">
        <v>13.8</v>
      </c>
      <c r="H57" s="11">
        <v>6.9</v>
      </c>
      <c r="I57" s="11">
        <f>G57-H57</f>
        <v>6.9</v>
      </c>
      <c r="J57" s="11">
        <v>10.35</v>
      </c>
      <c r="K57" s="10">
        <v>193.2</v>
      </c>
      <c r="L57" s="11">
        <v>42.5</v>
      </c>
      <c r="M57" s="10">
        <f>K57+L57</f>
        <v>235.7</v>
      </c>
      <c r="N57" s="10">
        <v>530.9</v>
      </c>
      <c r="O57" s="10">
        <v>53.0</v>
      </c>
      <c r="P57" s="10">
        <f>N57+O57</f>
        <v>583.9</v>
      </c>
      <c r="Q57" s="10">
        <v>59.2</v>
      </c>
      <c r="R57" s="10">
        <v>63.0</v>
      </c>
      <c r="S57" s="10">
        <v>88.4</v>
      </c>
      <c r="T57" s="10">
        <f>Q57+R57+S57</f>
        <v>210.60000000000002</v>
      </c>
      <c r="U57" s="11">
        <v>12.2</v>
      </c>
      <c r="V57" s="11">
        <v>35.4</v>
      </c>
      <c r="W57" s="10">
        <f>U57+V57</f>
        <v>47.599999999999994</v>
      </c>
      <c r="X57" s="10">
        <f>P57+T57+W57</f>
        <v>842.1</v>
      </c>
      <c r="Y57" s="8" t="s">
        <v>106</v>
      </c>
      <c r="Z57" s="8" t="s">
        <v>1200</v>
      </c>
    </row>
    <row r="58" spans="8:8" ht="18.75" customHeight="1">
      <c r="A58" s="2" t="s">
        <v>500</v>
      </c>
      <c r="B58" s="3" t="s">
        <v>452</v>
      </c>
      <c r="C58" s="3" t="s">
        <v>501</v>
      </c>
      <c r="D58" s="3" t="s">
        <v>503</v>
      </c>
      <c r="E58" s="3" t="s">
        <v>505</v>
      </c>
      <c r="F58" s="6">
        <v>4.5</v>
      </c>
      <c r="G58" s="6">
        <v>11.2</v>
      </c>
      <c r="H58" s="6">
        <v>5.1</v>
      </c>
      <c r="I58" s="6">
        <f>G58-H58</f>
        <v>6.1</v>
      </c>
      <c r="J58" s="6">
        <v>8.15</v>
      </c>
      <c r="K58" s="5">
        <v>274.5</v>
      </c>
      <c r="L58" s="5">
        <v>60.4</v>
      </c>
      <c r="M58" s="5">
        <f>K58+L58</f>
        <v>334.9</v>
      </c>
      <c r="N58" s="5">
        <v>642.7</v>
      </c>
      <c r="O58" s="5">
        <v>90.4</v>
      </c>
      <c r="P58" s="5">
        <f>N58+O58</f>
        <v>733.1</v>
      </c>
      <c r="Q58" s="5">
        <v>81.5</v>
      </c>
      <c r="R58" s="5">
        <v>72.0</v>
      </c>
      <c r="S58" s="5">
        <v>150.7</v>
      </c>
      <c r="T58" s="5">
        <f>Q58+R58+S58</f>
        <v>304.2</v>
      </c>
      <c r="U58" s="6">
        <v>22.8</v>
      </c>
      <c r="V58" s="5">
        <v>60.3</v>
      </c>
      <c r="W58" s="5">
        <f>U58+V58</f>
        <v>83.1</v>
      </c>
      <c r="X58" s="5">
        <f>P58+T58+W58</f>
        <v>1120.3999999999999</v>
      </c>
      <c r="Y58" s="3" t="s">
        <v>50</v>
      </c>
      <c r="Z58" s="3" t="s">
        <v>1199</v>
      </c>
    </row>
    <row r="59" spans="8:8" ht="18.75" customHeight="1">
      <c r="A59" s="7" t="s">
        <v>506</v>
      </c>
      <c r="B59" s="8" t="s">
        <v>452</v>
      </c>
      <c r="C59" s="8" t="s">
        <v>507</v>
      </c>
      <c r="D59" s="8" t="s">
        <v>509</v>
      </c>
      <c r="E59" s="8" t="s">
        <v>511</v>
      </c>
      <c r="F59" s="11">
        <v>4.2</v>
      </c>
      <c r="G59" s="11">
        <v>10.8</v>
      </c>
      <c r="H59" s="11">
        <v>4.8</v>
      </c>
      <c r="I59" s="11">
        <f>G59-H59</f>
        <v>6.000000000000001</v>
      </c>
      <c r="J59" s="11">
        <v>7.8</v>
      </c>
      <c r="K59" s="10">
        <v>252.0</v>
      </c>
      <c r="L59" s="10">
        <v>55.4</v>
      </c>
      <c r="M59" s="10">
        <f>K59+L59</f>
        <v>307.4</v>
      </c>
      <c r="N59" s="10">
        <v>632.9</v>
      </c>
      <c r="O59" s="10">
        <v>83.0</v>
      </c>
      <c r="P59" s="10">
        <f>N59+O59</f>
        <v>715.9</v>
      </c>
      <c r="Q59" s="10">
        <v>89.3</v>
      </c>
      <c r="R59" s="10">
        <v>67.5</v>
      </c>
      <c r="S59" s="10">
        <v>138.3</v>
      </c>
      <c r="T59" s="10">
        <f>Q59+R59+S59</f>
        <v>295.1</v>
      </c>
      <c r="U59" s="11">
        <v>22.7</v>
      </c>
      <c r="V59" s="10">
        <v>55.3</v>
      </c>
      <c r="W59" s="10">
        <f>U59+V59</f>
        <v>78.0</v>
      </c>
      <c r="X59" s="10">
        <f>P59+T59+W59</f>
        <v>1089.0</v>
      </c>
      <c r="Y59" s="8" t="s">
        <v>50</v>
      </c>
      <c r="Z59" s="8" t="s">
        <v>1199</v>
      </c>
    </row>
    <row r="60" spans="8:8" ht="18.75" customHeight="1">
      <c r="A60" s="2" t="s">
        <v>512</v>
      </c>
      <c r="B60" s="3" t="s">
        <v>452</v>
      </c>
      <c r="C60" s="3" t="s">
        <v>513</v>
      </c>
      <c r="D60" s="3" t="s">
        <v>515</v>
      </c>
      <c r="E60" s="3" t="s">
        <v>516</v>
      </c>
      <c r="F60" s="6">
        <v>2.5</v>
      </c>
      <c r="G60" s="6">
        <v>12.5</v>
      </c>
      <c r="H60" s="6">
        <v>5.9</v>
      </c>
      <c r="I60" s="6">
        <f>G60-H60</f>
        <v>6.6</v>
      </c>
      <c r="J60" s="6">
        <v>9.2</v>
      </c>
      <c r="K60" s="5">
        <v>165.0</v>
      </c>
      <c r="L60" s="6">
        <v>36.3</v>
      </c>
      <c r="M60" s="5">
        <f>K60+L60</f>
        <v>201.3</v>
      </c>
      <c r="N60" s="5">
        <v>507.1</v>
      </c>
      <c r="O60" s="5">
        <v>54.4</v>
      </c>
      <c r="P60" s="5">
        <f>N60+O60</f>
        <v>561.5</v>
      </c>
      <c r="Q60" s="6">
        <v>36.5</v>
      </c>
      <c r="R60" s="6">
        <v>49.5</v>
      </c>
      <c r="S60" s="5">
        <v>90.6</v>
      </c>
      <c r="T60" s="5">
        <f>Q60+R60+S60</f>
        <v>176.6</v>
      </c>
      <c r="U60" s="6">
        <v>11.4</v>
      </c>
      <c r="V60" s="6">
        <v>36.2</v>
      </c>
      <c r="W60" s="5">
        <f>U60+V60</f>
        <v>47.6</v>
      </c>
      <c r="X60" s="5">
        <f>P60+T60+W60</f>
        <v>785.7</v>
      </c>
      <c r="Y60" s="3" t="s">
        <v>50</v>
      </c>
      <c r="Z60" s="3" t="s">
        <v>1199</v>
      </c>
    </row>
    <row r="61" spans="8:8" ht="18.75" customHeight="1">
      <c r="A61" s="7" t="s">
        <v>517</v>
      </c>
      <c r="B61" s="8" t="s">
        <v>518</v>
      </c>
      <c r="C61" s="8" t="s">
        <v>519</v>
      </c>
      <c r="D61" s="8" t="s">
        <v>521</v>
      </c>
      <c r="E61" s="8" t="s">
        <v>522</v>
      </c>
      <c r="F61" s="11">
        <v>5.5</v>
      </c>
      <c r="G61" s="11">
        <v>8.8</v>
      </c>
      <c r="H61" s="11">
        <v>3.5</v>
      </c>
      <c r="I61" s="11">
        <f>G61-H61</f>
        <v>5.300000000000001</v>
      </c>
      <c r="J61" s="11">
        <v>6.15</v>
      </c>
      <c r="K61" s="10">
        <v>291.5</v>
      </c>
      <c r="L61" s="10">
        <v>64.1</v>
      </c>
      <c r="M61" s="10">
        <f>K61+L61</f>
        <v>355.6</v>
      </c>
      <c r="N61" s="10">
        <v>768.9</v>
      </c>
      <c r="O61" s="10">
        <v>96.0</v>
      </c>
      <c r="P61" s="10">
        <f>N61+O61</f>
        <v>864.9</v>
      </c>
      <c r="Q61" s="10">
        <v>86.7</v>
      </c>
      <c r="R61" s="10">
        <v>74.2</v>
      </c>
      <c r="S61" s="10">
        <v>160.0</v>
      </c>
      <c r="T61" s="10">
        <f>Q61+R61+S61</f>
        <v>320.9</v>
      </c>
      <c r="U61" s="11">
        <v>27.0</v>
      </c>
      <c r="V61" s="10">
        <v>64.0</v>
      </c>
      <c r="W61" s="10">
        <f>U61+V61</f>
        <v>91.0</v>
      </c>
      <c r="X61" s="10">
        <f>P61+T61+W61</f>
        <v>1276.8</v>
      </c>
      <c r="Y61" s="8" t="s">
        <v>50</v>
      </c>
      <c r="Z61" s="8" t="s">
        <v>1199</v>
      </c>
    </row>
    <row r="62" spans="8:8" ht="18.75" customHeight="1">
      <c r="A62" s="2" t="s">
        <v>526</v>
      </c>
      <c r="B62" s="3" t="s">
        <v>518</v>
      </c>
      <c r="C62" s="3" t="s">
        <v>527</v>
      </c>
      <c r="D62" s="3" t="s">
        <v>529</v>
      </c>
      <c r="E62" s="3" t="s">
        <v>530</v>
      </c>
      <c r="F62" s="6">
        <v>4.5</v>
      </c>
      <c r="G62" s="6">
        <v>7.4</v>
      </c>
      <c r="H62" s="6">
        <v>2.8</v>
      </c>
      <c r="I62" s="6">
        <f>G62-H62</f>
        <v>4.6000000000000005</v>
      </c>
      <c r="J62" s="6">
        <v>5.1</v>
      </c>
      <c r="K62" s="5">
        <v>207.0</v>
      </c>
      <c r="L62" s="6">
        <v>45.5</v>
      </c>
      <c r="M62" s="5">
        <f>K62+L62</f>
        <v>252.5</v>
      </c>
      <c r="N62" s="5">
        <v>837.7</v>
      </c>
      <c r="O62" s="5">
        <v>68.2</v>
      </c>
      <c r="P62" s="5">
        <f>N62+O62</f>
        <v>905.9000000000001</v>
      </c>
      <c r="Q62" s="5">
        <v>108.7</v>
      </c>
      <c r="R62" s="5">
        <v>65.2</v>
      </c>
      <c r="S62" s="5">
        <v>113.6</v>
      </c>
      <c r="T62" s="5">
        <f>Q62+R62+S62</f>
        <v>287.5</v>
      </c>
      <c r="U62" s="5">
        <v>50.8</v>
      </c>
      <c r="V62" s="6">
        <v>45.4</v>
      </c>
      <c r="W62" s="5">
        <f>U62+V62</f>
        <v>96.19999999999999</v>
      </c>
      <c r="X62" s="5">
        <f>P62+T62+W62</f>
        <v>1289.6000000000001</v>
      </c>
      <c r="Y62" s="3" t="s">
        <v>50</v>
      </c>
      <c r="Z62" s="3" t="s">
        <v>1199</v>
      </c>
    </row>
    <row r="63" spans="8:8" ht="18.75" customHeight="1">
      <c r="A63" s="7" t="s">
        <v>531</v>
      </c>
      <c r="B63" s="8" t="s">
        <v>518</v>
      </c>
      <c r="C63" s="8" t="s">
        <v>532</v>
      </c>
      <c r="D63" s="8" t="s">
        <v>534</v>
      </c>
      <c r="E63" s="8" t="s">
        <v>535</v>
      </c>
      <c r="F63" s="11">
        <v>5.0</v>
      </c>
      <c r="G63" s="11">
        <v>8.2</v>
      </c>
      <c r="H63" s="11">
        <v>3.2</v>
      </c>
      <c r="I63" s="11">
        <f>G63-H63</f>
        <v>4.999999999999999</v>
      </c>
      <c r="J63" s="11">
        <v>5.7</v>
      </c>
      <c r="K63" s="10">
        <v>250.0</v>
      </c>
      <c r="L63" s="10">
        <v>55.0</v>
      </c>
      <c r="M63" s="10">
        <f>K63+L63</f>
        <v>305.0</v>
      </c>
      <c r="N63" s="10">
        <v>810.3</v>
      </c>
      <c r="O63" s="10">
        <v>82.3</v>
      </c>
      <c r="P63" s="10">
        <f>N63+O63</f>
        <v>892.5999999999999</v>
      </c>
      <c r="Q63" s="10">
        <v>102.8</v>
      </c>
      <c r="R63" s="10">
        <v>60.8</v>
      </c>
      <c r="S63" s="10">
        <v>137.2</v>
      </c>
      <c r="T63" s="10">
        <f>Q63+R63+S63</f>
        <v>300.79999999999995</v>
      </c>
      <c r="U63" s="11">
        <v>28.7</v>
      </c>
      <c r="V63" s="10">
        <v>54.9</v>
      </c>
      <c r="W63" s="10">
        <f>U63+V63</f>
        <v>83.6</v>
      </c>
      <c r="X63" s="10">
        <f>P63+T63+W63</f>
        <v>1277.0</v>
      </c>
      <c r="Y63" s="8" t="s">
        <v>50</v>
      </c>
      <c r="Z63" s="8" t="s">
        <v>1199</v>
      </c>
    </row>
    <row r="64" spans="8:8" ht="18.75" customHeight="1">
      <c r="A64" s="2" t="s">
        <v>536</v>
      </c>
      <c r="B64" s="3" t="s">
        <v>537</v>
      </c>
      <c r="C64" s="3" t="s">
        <v>538</v>
      </c>
      <c r="D64" s="3" t="s">
        <v>542</v>
      </c>
      <c r="E64" s="3" t="s">
        <v>544</v>
      </c>
      <c r="F64" s="6">
        <v>5.0</v>
      </c>
      <c r="G64" s="6">
        <v>7.5</v>
      </c>
      <c r="H64" s="6">
        <v>2.6</v>
      </c>
      <c r="I64" s="6">
        <f>G64-H64</f>
        <v>4.9</v>
      </c>
      <c r="J64" s="6">
        <v>5.05</v>
      </c>
      <c r="K64" s="5">
        <v>245.0</v>
      </c>
      <c r="L64" s="5">
        <v>53.9</v>
      </c>
      <c r="M64" s="5">
        <f>K64+L64</f>
        <v>298.9</v>
      </c>
      <c r="N64" s="5">
        <v>1234.8</v>
      </c>
      <c r="O64" s="5">
        <v>80.7</v>
      </c>
      <c r="P64" s="5">
        <f>N64+O64</f>
        <v>1315.5</v>
      </c>
      <c r="Q64" s="5">
        <v>65.2</v>
      </c>
      <c r="R64" s="5">
        <v>85.5</v>
      </c>
      <c r="S64" s="5">
        <v>134.5</v>
      </c>
      <c r="T64" s="5">
        <f>Q64+R64+S64</f>
        <v>285.2</v>
      </c>
      <c r="U64" s="6">
        <v>20.2</v>
      </c>
      <c r="V64" s="5">
        <v>53.8</v>
      </c>
      <c r="W64" s="5">
        <f>U64+V64</f>
        <v>74.0</v>
      </c>
      <c r="X64" s="5">
        <f>P64+T64+W64</f>
        <v>1674.7</v>
      </c>
      <c r="Y64" s="3" t="s">
        <v>50</v>
      </c>
      <c r="Z64" s="3" t="s">
        <v>1199</v>
      </c>
    </row>
    <row r="65" spans="8:8" ht="18.75" customHeight="1">
      <c r="A65" s="7" t="s">
        <v>545</v>
      </c>
      <c r="B65" s="8" t="s">
        <v>537</v>
      </c>
      <c r="C65" s="8" t="s">
        <v>546</v>
      </c>
      <c r="D65" s="8" t="s">
        <v>548</v>
      </c>
      <c r="E65" s="8" t="s">
        <v>549</v>
      </c>
      <c r="F65" s="11">
        <v>10.0</v>
      </c>
      <c r="G65" s="11">
        <v>9.4</v>
      </c>
      <c r="H65" s="11">
        <v>4.2</v>
      </c>
      <c r="I65" s="11">
        <f>G65-H65</f>
        <v>5.2</v>
      </c>
      <c r="J65" s="11">
        <v>6.8</v>
      </c>
      <c r="K65" s="10">
        <v>520.0</v>
      </c>
      <c r="L65" s="10">
        <v>114.4</v>
      </c>
      <c r="M65" s="10">
        <f>K65+L65</f>
        <v>634.4</v>
      </c>
      <c r="N65" s="10">
        <v>806.3</v>
      </c>
      <c r="O65" s="10">
        <v>171.3</v>
      </c>
      <c r="P65" s="10">
        <f>N65+O65</f>
        <v>977.5999999999999</v>
      </c>
      <c r="Q65" s="10">
        <v>52.6</v>
      </c>
      <c r="R65" s="10">
        <v>87.8</v>
      </c>
      <c r="S65" s="10">
        <v>285.5</v>
      </c>
      <c r="T65" s="10">
        <f>Q65+R65+S65</f>
        <v>425.9</v>
      </c>
      <c r="U65" s="11">
        <v>13.4</v>
      </c>
      <c r="V65" s="10">
        <v>114.2</v>
      </c>
      <c r="W65" s="10">
        <f>U65+V65</f>
        <v>127.60000000000001</v>
      </c>
      <c r="X65" s="10">
        <f>P65+T65+W65</f>
        <v>1531.1</v>
      </c>
      <c r="Y65" s="8" t="s">
        <v>50</v>
      </c>
      <c r="Z65" s="8" t="s">
        <v>1199</v>
      </c>
    </row>
    <row r="66" spans="8:8" ht="18.75" customHeight="1">
      <c r="A66" s="2" t="s">
        <v>550</v>
      </c>
      <c r="B66" s="3" t="s">
        <v>537</v>
      </c>
      <c r="C66" s="3" t="s">
        <v>551</v>
      </c>
      <c r="D66" s="3" t="s">
        <v>553</v>
      </c>
      <c r="E66" s="3" t="s">
        <v>555</v>
      </c>
      <c r="F66" s="6">
        <v>14.0</v>
      </c>
      <c r="G66" s="6">
        <v>14.8</v>
      </c>
      <c r="H66" s="6">
        <v>8.5</v>
      </c>
      <c r="I66" s="6">
        <f>G66-H66</f>
        <v>6.300000000000001</v>
      </c>
      <c r="J66" s="6">
        <v>11.65</v>
      </c>
      <c r="K66" s="5">
        <v>882.0</v>
      </c>
      <c r="L66" s="5">
        <v>194.0</v>
      </c>
      <c r="M66" s="5">
        <f>K66+L66</f>
        <v>1076.0</v>
      </c>
      <c r="N66" s="5">
        <v>569.0</v>
      </c>
      <c r="O66" s="5">
        <v>290.5</v>
      </c>
      <c r="P66" s="5">
        <f>N66+O66</f>
        <v>859.5</v>
      </c>
      <c r="Q66" s="6">
        <v>37.1</v>
      </c>
      <c r="R66" s="5">
        <v>74.2</v>
      </c>
      <c r="S66" s="5">
        <v>484.2</v>
      </c>
      <c r="T66" s="5">
        <f>Q66+R66+S66</f>
        <v>595.5</v>
      </c>
      <c r="U66" s="6">
        <v>9.4</v>
      </c>
      <c r="V66" s="5">
        <v>193.7</v>
      </c>
      <c r="W66" s="5">
        <f>U66+V66</f>
        <v>203.1</v>
      </c>
      <c r="X66" s="5">
        <f>P66+T66+W66</f>
        <v>1658.1</v>
      </c>
      <c r="Y66" s="3" t="s">
        <v>50</v>
      </c>
      <c r="Z66" s="3" t="s">
        <v>1199</v>
      </c>
    </row>
    <row r="67" spans="8:8" ht="18.75" customHeight="1">
      <c r="A67" s="7" t="s">
        <v>556</v>
      </c>
      <c r="B67" s="8" t="s">
        <v>537</v>
      </c>
      <c r="C67" s="8" t="s">
        <v>557</v>
      </c>
      <c r="D67" s="8" t="s">
        <v>559</v>
      </c>
      <c r="E67" s="8" t="s">
        <v>563</v>
      </c>
      <c r="F67" s="11">
        <v>12.0</v>
      </c>
      <c r="G67" s="11">
        <v>38.5</v>
      </c>
      <c r="H67" s="11">
        <v>31.2</v>
      </c>
      <c r="I67" s="11">
        <f>G67-H67</f>
        <v>7.300000000000001</v>
      </c>
      <c r="J67" s="11">
        <v>34.85</v>
      </c>
      <c r="K67" s="10">
        <v>876.0</v>
      </c>
      <c r="L67" s="10">
        <v>192.7</v>
      </c>
      <c r="M67" s="10">
        <f>K67+L67</f>
        <v>1068.7</v>
      </c>
      <c r="N67" s="10">
        <v>405.4</v>
      </c>
      <c r="O67" s="10">
        <v>112.2</v>
      </c>
      <c r="P67" s="10">
        <f>N67+O67</f>
        <v>517.6</v>
      </c>
      <c r="Q67" s="11">
        <v>24.0</v>
      </c>
      <c r="R67" s="11">
        <v>49.5</v>
      </c>
      <c r="S67" s="10">
        <v>187.0</v>
      </c>
      <c r="T67" s="10">
        <f>Q67+R67+S67</f>
        <v>260.5</v>
      </c>
      <c r="U67" s="11">
        <v>9.0</v>
      </c>
      <c r="V67" s="10">
        <v>74.8</v>
      </c>
      <c r="W67" s="10">
        <f>U67+V67</f>
        <v>83.8</v>
      </c>
      <c r="X67" s="10">
        <f>P67+T67+W67</f>
        <v>861.9</v>
      </c>
      <c r="Y67" s="8" t="s">
        <v>238</v>
      </c>
      <c r="Z67" s="8" t="s">
        <v>1201</v>
      </c>
    </row>
    <row r="68" spans="8:8" ht="18.75" customHeight="1">
      <c r="A68" s="2" t="s">
        <v>567</v>
      </c>
      <c r="B68" s="3" t="s">
        <v>537</v>
      </c>
      <c r="C68" s="3" t="s">
        <v>568</v>
      </c>
      <c r="D68" s="3" t="s">
        <v>570</v>
      </c>
      <c r="E68" s="3" t="s">
        <v>572</v>
      </c>
      <c r="F68" s="6">
        <v>7.0</v>
      </c>
      <c r="G68" s="6">
        <v>9.8</v>
      </c>
      <c r="H68" s="6">
        <v>4.5</v>
      </c>
      <c r="I68" s="6">
        <f>G68-H68</f>
        <v>5.300000000000001</v>
      </c>
      <c r="J68" s="6">
        <v>7.15</v>
      </c>
      <c r="K68" s="5">
        <v>371.0</v>
      </c>
      <c r="L68" s="5">
        <v>81.6</v>
      </c>
      <c r="M68" s="5">
        <f>K68+L68</f>
        <v>452.6</v>
      </c>
      <c r="N68" s="5">
        <v>425.1</v>
      </c>
      <c r="O68" s="5">
        <v>122.2</v>
      </c>
      <c r="P68" s="5">
        <f>N68+O68</f>
        <v>547.3000000000001</v>
      </c>
      <c r="Q68" s="6">
        <v>30.6</v>
      </c>
      <c r="R68" s="5">
        <v>72.0</v>
      </c>
      <c r="S68" s="5">
        <v>203.7</v>
      </c>
      <c r="T68" s="5">
        <f>Q68+R68+S68</f>
        <v>306.29999999999995</v>
      </c>
      <c r="U68" s="6">
        <v>9.5</v>
      </c>
      <c r="V68" s="5">
        <v>81.5</v>
      </c>
      <c r="W68" s="5">
        <f>U68+V68</f>
        <v>91.0</v>
      </c>
      <c r="X68" s="5">
        <f>P68+T68+W68</f>
        <v>944.6</v>
      </c>
      <c r="Y68" s="3" t="s">
        <v>50</v>
      </c>
      <c r="Z68" s="3" t="s">
        <v>1199</v>
      </c>
    </row>
    <row r="69" spans="8:8" ht="18.75" customHeight="1">
      <c r="A69" s="7" t="s">
        <v>576</v>
      </c>
      <c r="B69" s="8" t="s">
        <v>537</v>
      </c>
      <c r="C69" s="8" t="s">
        <v>577</v>
      </c>
      <c r="D69" s="8" t="s">
        <v>580</v>
      </c>
      <c r="E69" s="8" t="s">
        <v>582</v>
      </c>
      <c r="F69" s="11">
        <v>4.5</v>
      </c>
      <c r="G69" s="11">
        <v>13.5</v>
      </c>
      <c r="H69" s="11">
        <v>6.2</v>
      </c>
      <c r="I69" s="11">
        <f>G69-H69</f>
        <v>7.3</v>
      </c>
      <c r="J69" s="11">
        <v>9.85</v>
      </c>
      <c r="K69" s="10">
        <v>328.5</v>
      </c>
      <c r="L69" s="10">
        <v>72.3</v>
      </c>
      <c r="M69" s="10">
        <f>K69+L69</f>
        <v>400.8</v>
      </c>
      <c r="N69" s="10">
        <v>487.2</v>
      </c>
      <c r="O69" s="10">
        <v>108.2</v>
      </c>
      <c r="P69" s="10">
        <f>N69+O69</f>
        <v>595.4</v>
      </c>
      <c r="Q69" s="11">
        <v>35.0</v>
      </c>
      <c r="R69" s="10">
        <v>69.8</v>
      </c>
      <c r="S69" s="10">
        <v>180.3</v>
      </c>
      <c r="T69" s="10">
        <f>Q69+R69+S69</f>
        <v>285.1</v>
      </c>
      <c r="U69" s="11">
        <v>10.9</v>
      </c>
      <c r="V69" s="10">
        <v>72.1</v>
      </c>
      <c r="W69" s="10">
        <f>U69+V69</f>
        <v>83.0</v>
      </c>
      <c r="X69" s="10">
        <f>P69+T69+W69</f>
        <v>963.5</v>
      </c>
      <c r="Y69" s="8" t="s">
        <v>50</v>
      </c>
      <c r="Z69" s="8" t="s">
        <v>1199</v>
      </c>
    </row>
    <row r="70" spans="8:8" ht="18.75" customHeight="1">
      <c r="A70" s="2" t="s">
        <v>583</v>
      </c>
      <c r="B70" s="3" t="s">
        <v>537</v>
      </c>
      <c r="C70" s="3" t="s">
        <v>584</v>
      </c>
      <c r="D70" s="3" t="s">
        <v>586</v>
      </c>
      <c r="E70" s="3" t="s">
        <v>588</v>
      </c>
      <c r="F70" s="6">
        <v>3.8</v>
      </c>
      <c r="G70" s="6">
        <v>15.2</v>
      </c>
      <c r="H70" s="6">
        <v>7.8</v>
      </c>
      <c r="I70" s="6">
        <f>G70-H70</f>
        <v>7.3999999999999995</v>
      </c>
      <c r="J70" s="6">
        <v>11.5</v>
      </c>
      <c r="K70" s="5">
        <v>281.2</v>
      </c>
      <c r="L70" s="5">
        <v>61.9</v>
      </c>
      <c r="M70" s="5">
        <f>K70+L70</f>
        <v>343.09999999999997</v>
      </c>
      <c r="N70" s="5">
        <v>372.0</v>
      </c>
      <c r="O70" s="5">
        <v>77.2</v>
      </c>
      <c r="P70" s="5">
        <f>N70+O70</f>
        <v>449.2</v>
      </c>
      <c r="Q70" s="6">
        <v>26.7</v>
      </c>
      <c r="R70" s="5">
        <v>63.0</v>
      </c>
      <c r="S70" s="5">
        <v>128.7</v>
      </c>
      <c r="T70" s="5">
        <f>Q70+R70+S70</f>
        <v>218.39999999999998</v>
      </c>
      <c r="U70" s="6">
        <v>8.4</v>
      </c>
      <c r="V70" s="5">
        <v>51.5</v>
      </c>
      <c r="W70" s="5">
        <f>U70+V70</f>
        <v>59.9</v>
      </c>
      <c r="X70" s="5">
        <f>P70+T70+W70</f>
        <v>727.5</v>
      </c>
      <c r="Y70" s="3" t="s">
        <v>106</v>
      </c>
      <c r="Z70" s="3" t="s">
        <v>1200</v>
      </c>
    </row>
    <row r="71" spans="8:8" ht="18.75" customHeight="1">
      <c r="A71" s="7" t="s">
        <v>589</v>
      </c>
      <c r="B71" s="8" t="s">
        <v>537</v>
      </c>
      <c r="C71" s="8" t="s">
        <v>590</v>
      </c>
      <c r="D71" s="8" t="s">
        <v>593</v>
      </c>
      <c r="E71" s="8" t="s">
        <v>598</v>
      </c>
      <c r="F71" s="11">
        <v>8.0</v>
      </c>
      <c r="G71" s="11">
        <v>29.4</v>
      </c>
      <c r="H71" s="11">
        <v>23.5</v>
      </c>
      <c r="I71" s="11">
        <f>G71-H71</f>
        <v>5.899999999999999</v>
      </c>
      <c r="J71" s="11">
        <v>26.45</v>
      </c>
      <c r="K71" s="10">
        <v>472.0</v>
      </c>
      <c r="L71" s="10">
        <v>103.8</v>
      </c>
      <c r="M71" s="10">
        <f>K71+L71</f>
        <v>575.8</v>
      </c>
      <c r="N71" s="10">
        <v>265.1</v>
      </c>
      <c r="O71" s="10">
        <v>129.5</v>
      </c>
      <c r="P71" s="10">
        <f>N71+O71</f>
        <v>394.6</v>
      </c>
      <c r="Q71" s="11">
        <v>20.8</v>
      </c>
      <c r="R71" s="11">
        <v>17.0</v>
      </c>
      <c r="S71" s="10">
        <v>215.9</v>
      </c>
      <c r="T71" s="10">
        <f>Q71+R71+S71</f>
        <v>253.7</v>
      </c>
      <c r="U71" s="11">
        <v>7.5</v>
      </c>
      <c r="V71" s="10">
        <v>86.4</v>
      </c>
      <c r="W71" s="10">
        <f>U71+V71</f>
        <v>93.9</v>
      </c>
      <c r="X71" s="10">
        <f>P71+T71+W71</f>
        <v>742.1999999999999</v>
      </c>
      <c r="Y71" s="8" t="s">
        <v>106</v>
      </c>
      <c r="Z71" s="8" t="s">
        <v>1200</v>
      </c>
    </row>
    <row r="72" spans="8:8" ht="18.75" customHeight="1">
      <c r="A72" s="2" t="s">
        <v>603</v>
      </c>
      <c r="B72" s="3" t="s">
        <v>604</v>
      </c>
      <c r="C72" s="3" t="s">
        <v>605</v>
      </c>
      <c r="D72" s="3" t="s">
        <v>608</v>
      </c>
      <c r="E72" s="3" t="s">
        <v>612</v>
      </c>
      <c r="F72" s="6">
        <v>7.5</v>
      </c>
      <c r="G72" s="6">
        <v>42.5</v>
      </c>
      <c r="H72" s="6">
        <v>38.8</v>
      </c>
      <c r="I72" s="6">
        <f>G72-H72</f>
        <v>3.700000000000003</v>
      </c>
      <c r="J72" s="6">
        <v>40.65</v>
      </c>
      <c r="K72" s="5">
        <v>277.5</v>
      </c>
      <c r="L72" s="5">
        <v>61.0</v>
      </c>
      <c r="M72" s="5">
        <f>K72+L72</f>
        <v>338.5</v>
      </c>
      <c r="N72" s="5">
        <v>177.9</v>
      </c>
      <c r="O72" s="6">
        <v>35.5</v>
      </c>
      <c r="P72" s="5">
        <f>N72+O72</f>
        <v>213.4</v>
      </c>
      <c r="Q72" s="6">
        <v>15.5</v>
      </c>
      <c r="R72" s="6">
        <v>13.0</v>
      </c>
      <c r="S72" s="5">
        <v>59.2</v>
      </c>
      <c r="T72" s="5">
        <f>Q72+R72+S72</f>
        <v>87.7</v>
      </c>
      <c r="U72" s="6">
        <v>8.2</v>
      </c>
      <c r="V72" s="6">
        <v>23.7</v>
      </c>
      <c r="W72" s="5">
        <f>U72+V72</f>
        <v>31.9</v>
      </c>
      <c r="X72" s="5">
        <f>P72+T72+W72</f>
        <v>333.0</v>
      </c>
      <c r="Y72" s="3" t="s">
        <v>238</v>
      </c>
      <c r="Z72" s="3" t="s">
        <v>1201</v>
      </c>
    </row>
    <row r="73" spans="8:8" ht="18.75" customHeight="1">
      <c r="A73" s="7" t="s">
        <v>616</v>
      </c>
      <c r="B73" s="8" t="s">
        <v>604</v>
      </c>
      <c r="C73" s="8" t="s">
        <v>617</v>
      </c>
      <c r="D73" s="8" t="s">
        <v>619</v>
      </c>
      <c r="E73" s="8" t="s">
        <v>623</v>
      </c>
      <c r="F73" s="11">
        <v>12.0</v>
      </c>
      <c r="G73" s="11">
        <v>14.2</v>
      </c>
      <c r="H73" s="11">
        <v>10.5</v>
      </c>
      <c r="I73" s="11">
        <f>G73-H73</f>
        <v>3.6999999999999993</v>
      </c>
      <c r="J73" s="11">
        <v>12.35</v>
      </c>
      <c r="K73" s="10">
        <v>444.0</v>
      </c>
      <c r="L73" s="10">
        <v>97.7</v>
      </c>
      <c r="M73" s="10">
        <f>K73+L73</f>
        <v>541.7</v>
      </c>
      <c r="N73" s="10">
        <v>168.7</v>
      </c>
      <c r="O73" s="10">
        <v>121.9</v>
      </c>
      <c r="P73" s="10">
        <f>N73+O73</f>
        <v>290.6</v>
      </c>
      <c r="Q73" s="11">
        <v>27.9</v>
      </c>
      <c r="R73" s="11">
        <v>24.0</v>
      </c>
      <c r="S73" s="10">
        <v>203.2</v>
      </c>
      <c r="T73" s="10">
        <f>Q73+R73+S73</f>
        <v>255.1</v>
      </c>
      <c r="U73" s="11">
        <v>17.4</v>
      </c>
      <c r="V73" s="10">
        <v>81.3</v>
      </c>
      <c r="W73" s="10">
        <f>U73+V73</f>
        <v>98.69999999999999</v>
      </c>
      <c r="X73" s="10">
        <f>P73+T73+W73</f>
        <v>644.4000000000001</v>
      </c>
      <c r="Y73" s="8" t="s">
        <v>106</v>
      </c>
      <c r="Z73" s="8" t="s">
        <v>1200</v>
      </c>
    </row>
    <row r="74" spans="8:8" ht="18.75" customHeight="1">
      <c r="A74" s="2" t="s">
        <v>624</v>
      </c>
      <c r="B74" s="3" t="s">
        <v>604</v>
      </c>
      <c r="C74" s="3" t="s">
        <v>625</v>
      </c>
      <c r="D74" s="3" t="s">
        <v>627</v>
      </c>
      <c r="E74" s="3" t="s">
        <v>631</v>
      </c>
      <c r="F74" s="6">
        <v>8.0</v>
      </c>
      <c r="G74" s="6">
        <v>48.0</v>
      </c>
      <c r="H74" s="6">
        <v>44.5</v>
      </c>
      <c r="I74" s="6">
        <f>G74-H74</f>
        <v>3.5</v>
      </c>
      <c r="J74" s="6">
        <v>46.25</v>
      </c>
      <c r="K74" s="5">
        <v>280.0</v>
      </c>
      <c r="L74" s="5">
        <v>61.6</v>
      </c>
      <c r="M74" s="5">
        <f>K74+L74</f>
        <v>341.6</v>
      </c>
      <c r="N74" s="5">
        <v>130.6</v>
      </c>
      <c r="O74" s="6">
        <v>35.9</v>
      </c>
      <c r="P74" s="5">
        <f>N74+O74</f>
        <v>166.5</v>
      </c>
      <c r="Q74" s="6">
        <v>13.4</v>
      </c>
      <c r="R74" s="6">
        <v>11.0</v>
      </c>
      <c r="S74" s="5">
        <v>59.8</v>
      </c>
      <c r="T74" s="5">
        <f>Q74+R74+S74</f>
        <v>84.19999999999999</v>
      </c>
      <c r="U74" s="6">
        <v>9.4</v>
      </c>
      <c r="V74" s="6">
        <v>23.9</v>
      </c>
      <c r="W74" s="5">
        <f>U74+V74</f>
        <v>33.3</v>
      </c>
      <c r="X74" s="5">
        <f>P74+T74+W74</f>
        <v>284.0</v>
      </c>
      <c r="Y74" s="3" t="s">
        <v>238</v>
      </c>
      <c r="Z74" s="3" t="s">
        <v>1201</v>
      </c>
    </row>
    <row r="75" spans="8:8" ht="18.75" customHeight="1">
      <c r="A75" s="7" t="s">
        <v>632</v>
      </c>
      <c r="B75" s="8" t="s">
        <v>604</v>
      </c>
      <c r="C75" s="8" t="s">
        <v>633</v>
      </c>
      <c r="D75" s="8" t="s">
        <v>635</v>
      </c>
      <c r="E75" s="8" t="s">
        <v>639</v>
      </c>
      <c r="F75" s="11">
        <v>9.0</v>
      </c>
      <c r="G75" s="11">
        <v>45.2</v>
      </c>
      <c r="H75" s="11">
        <v>40.8</v>
      </c>
      <c r="I75" s="11">
        <f>G75-H75</f>
        <v>4.400000000000006</v>
      </c>
      <c r="J75" s="11">
        <v>43.0</v>
      </c>
      <c r="K75" s="10">
        <v>396.0</v>
      </c>
      <c r="L75" s="10">
        <v>87.1</v>
      </c>
      <c r="M75" s="10">
        <f>K75+L75</f>
        <v>483.1</v>
      </c>
      <c r="N75" s="10">
        <v>258.3</v>
      </c>
      <c r="O75" s="10">
        <v>50.7</v>
      </c>
      <c r="P75" s="10">
        <f>N75+O75</f>
        <v>309.0</v>
      </c>
      <c r="Q75" s="11">
        <v>26.2</v>
      </c>
      <c r="R75" s="11">
        <v>19.0</v>
      </c>
      <c r="S75" s="10">
        <v>84.5</v>
      </c>
      <c r="T75" s="10">
        <f>Q75+R75+S75</f>
        <v>129.7</v>
      </c>
      <c r="U75" s="11">
        <v>15.3</v>
      </c>
      <c r="V75" s="11">
        <v>33.8</v>
      </c>
      <c r="W75" s="10">
        <f>U75+V75</f>
        <v>49.099999999999994</v>
      </c>
      <c r="X75" s="10">
        <f>P75+T75+W75</f>
        <v>487.8</v>
      </c>
      <c r="Y75" s="8" t="s">
        <v>238</v>
      </c>
      <c r="Z75" s="8" t="s">
        <v>1201</v>
      </c>
    </row>
    <row r="76" spans="8:8" ht="18.75" customHeight="1">
      <c r="A76" s="2" t="s">
        <v>643</v>
      </c>
      <c r="B76" s="3" t="s">
        <v>604</v>
      </c>
      <c r="C76" s="3" t="s">
        <v>644</v>
      </c>
      <c r="D76" s="3" t="s">
        <v>646</v>
      </c>
      <c r="E76" s="3" t="s">
        <v>648</v>
      </c>
      <c r="F76" s="6">
        <v>7.0</v>
      </c>
      <c r="G76" s="6">
        <v>32.6</v>
      </c>
      <c r="H76" s="6">
        <v>25.4</v>
      </c>
      <c r="I76" s="6">
        <f>G76-H76</f>
        <v>7.200000000000003</v>
      </c>
      <c r="J76" s="6">
        <v>29.0</v>
      </c>
      <c r="K76" s="5">
        <v>504.0</v>
      </c>
      <c r="L76" s="5">
        <v>110.9</v>
      </c>
      <c r="M76" s="5">
        <f>K76+L76</f>
        <v>614.9</v>
      </c>
      <c r="N76" s="5">
        <v>281.7</v>
      </c>
      <c r="O76" s="5">
        <v>64.6</v>
      </c>
      <c r="P76" s="5">
        <f>N76+O76</f>
        <v>346.29999999999995</v>
      </c>
      <c r="Q76" s="6">
        <v>20.7</v>
      </c>
      <c r="R76" s="6">
        <v>22.0</v>
      </c>
      <c r="S76" s="5">
        <v>107.6</v>
      </c>
      <c r="T76" s="5">
        <f>Q76+R76+S76</f>
        <v>150.3</v>
      </c>
      <c r="U76" s="6">
        <v>12.9</v>
      </c>
      <c r="V76" s="6">
        <v>43.0</v>
      </c>
      <c r="W76" s="5">
        <f>U76+V76</f>
        <v>55.9</v>
      </c>
      <c r="X76" s="5">
        <f>P76+T76+W76</f>
        <v>552.5</v>
      </c>
      <c r="Y76" s="3" t="s">
        <v>238</v>
      </c>
      <c r="Z76" s="3" t="s">
        <v>1201</v>
      </c>
    </row>
    <row r="77" spans="8:8" ht="18.75" customHeight="1">
      <c r="A77" s="7" t="s">
        <v>649</v>
      </c>
      <c r="B77" s="8" t="s">
        <v>604</v>
      </c>
      <c r="C77" s="8" t="s">
        <v>650</v>
      </c>
      <c r="D77" s="8" t="s">
        <v>653</v>
      </c>
      <c r="E77" s="8" t="s">
        <v>655</v>
      </c>
      <c r="F77" s="11">
        <v>10.0</v>
      </c>
      <c r="G77" s="11">
        <v>36.8</v>
      </c>
      <c r="H77" s="11">
        <v>30.2</v>
      </c>
      <c r="I77" s="11">
        <f>G77-H77</f>
        <v>6.599999999999998</v>
      </c>
      <c r="J77" s="11">
        <v>33.5</v>
      </c>
      <c r="K77" s="10">
        <v>660.0</v>
      </c>
      <c r="L77" s="10">
        <v>145.2</v>
      </c>
      <c r="M77" s="10">
        <f>K77+L77</f>
        <v>805.2</v>
      </c>
      <c r="N77" s="10">
        <v>341.4</v>
      </c>
      <c r="O77" s="10">
        <v>84.5</v>
      </c>
      <c r="P77" s="10">
        <f>N77+O77</f>
        <v>425.9</v>
      </c>
      <c r="Q77" s="11">
        <v>29.6</v>
      </c>
      <c r="R77" s="10">
        <v>56.2</v>
      </c>
      <c r="S77" s="10">
        <v>140.9</v>
      </c>
      <c r="T77" s="10">
        <f>Q77+R77+S77</f>
        <v>226.7</v>
      </c>
      <c r="U77" s="11">
        <v>15.7</v>
      </c>
      <c r="V77" s="10">
        <v>56.4</v>
      </c>
      <c r="W77" s="10">
        <f>U77+V77</f>
        <v>72.1</v>
      </c>
      <c r="X77" s="10">
        <f>P77+T77+W77</f>
        <v>724.7</v>
      </c>
      <c r="Y77" s="8" t="s">
        <v>238</v>
      </c>
      <c r="Z77" s="8" t="s">
        <v>1201</v>
      </c>
    </row>
    <row r="78" spans="8:8" ht="18.75" customHeight="1">
      <c r="A78" s="2" t="s">
        <v>656</v>
      </c>
      <c r="B78" s="3" t="s">
        <v>604</v>
      </c>
      <c r="C78" s="3" t="s">
        <v>657</v>
      </c>
      <c r="D78" s="3" t="s">
        <v>659</v>
      </c>
      <c r="E78" s="3" t="s">
        <v>661</v>
      </c>
      <c r="F78" s="6">
        <v>12.5</v>
      </c>
      <c r="G78" s="6">
        <v>24.5</v>
      </c>
      <c r="H78" s="6">
        <v>18.2</v>
      </c>
      <c r="I78" s="6">
        <f>G78-H78</f>
        <v>6.300000000000001</v>
      </c>
      <c r="J78" s="6">
        <v>21.35</v>
      </c>
      <c r="K78" s="5">
        <v>787.5</v>
      </c>
      <c r="L78" s="5">
        <v>173.2</v>
      </c>
      <c r="M78" s="5">
        <f>K78+L78</f>
        <v>960.7</v>
      </c>
      <c r="N78" s="5">
        <v>398.7</v>
      </c>
      <c r="O78" s="5">
        <v>100.9</v>
      </c>
      <c r="P78" s="5">
        <f>N78+O78</f>
        <v>499.6</v>
      </c>
      <c r="Q78" s="6">
        <v>40.0</v>
      </c>
      <c r="R78" s="5">
        <v>67.5</v>
      </c>
      <c r="S78" s="5">
        <v>168.1</v>
      </c>
      <c r="T78" s="5">
        <f>Q78+R78+S78</f>
        <v>275.6</v>
      </c>
      <c r="U78" s="6">
        <v>18.6</v>
      </c>
      <c r="V78" s="5">
        <v>67.2</v>
      </c>
      <c r="W78" s="5">
        <f>U78+V78</f>
        <v>85.80000000000001</v>
      </c>
      <c r="X78" s="5">
        <f>P78+T78+W78</f>
        <v>861.0</v>
      </c>
      <c r="Y78" s="3" t="s">
        <v>238</v>
      </c>
      <c r="Z78" s="3" t="s">
        <v>1201</v>
      </c>
    </row>
    <row r="79" spans="8:8" ht="18.75" customHeight="1">
      <c r="A79" s="7" t="s">
        <v>662</v>
      </c>
      <c r="B79" s="8" t="s">
        <v>604</v>
      </c>
      <c r="C79" s="8" t="s">
        <v>663</v>
      </c>
      <c r="D79" s="8" t="s">
        <v>665</v>
      </c>
      <c r="E79" s="8" t="s">
        <v>667</v>
      </c>
      <c r="F79" s="11">
        <v>3.5</v>
      </c>
      <c r="G79" s="11">
        <v>16.4</v>
      </c>
      <c r="H79" s="11">
        <v>8.8</v>
      </c>
      <c r="I79" s="11">
        <f>G79-H79</f>
        <v>7.599999999999998</v>
      </c>
      <c r="J79" s="11">
        <v>12.6</v>
      </c>
      <c r="K79" s="10">
        <v>266.0</v>
      </c>
      <c r="L79" s="10">
        <v>58.5</v>
      </c>
      <c r="M79" s="10">
        <f>K79+L79</f>
        <v>324.5</v>
      </c>
      <c r="N79" s="10">
        <v>441.4</v>
      </c>
      <c r="O79" s="10">
        <v>53.5</v>
      </c>
      <c r="P79" s="10">
        <f>N79+O79</f>
        <v>494.9</v>
      </c>
      <c r="Q79" s="11">
        <v>37.9</v>
      </c>
      <c r="R79" s="10">
        <v>65.2</v>
      </c>
      <c r="S79" s="10">
        <v>89.2</v>
      </c>
      <c r="T79" s="10">
        <f>Q79+R79+S79</f>
        <v>192.3</v>
      </c>
      <c r="U79" s="11">
        <v>15.1</v>
      </c>
      <c r="V79" s="11">
        <v>35.7</v>
      </c>
      <c r="W79" s="10">
        <f>U79+V79</f>
        <v>50.800000000000004</v>
      </c>
      <c r="X79" s="10">
        <f>P79+T79+W79</f>
        <v>738.0</v>
      </c>
      <c r="Y79" s="8" t="s">
        <v>147</v>
      </c>
      <c r="Z79" s="8" t="s">
        <v>1201</v>
      </c>
    </row>
    <row r="80" spans="8:8" ht="18.75" customHeight="1">
      <c r="A80" s="2" t="s">
        <v>668</v>
      </c>
      <c r="B80" s="3" t="s">
        <v>604</v>
      </c>
      <c r="C80" s="3" t="s">
        <v>669</v>
      </c>
      <c r="D80" s="3" t="s">
        <v>671</v>
      </c>
      <c r="E80" s="3" t="s">
        <v>673</v>
      </c>
      <c r="F80" s="6">
        <v>3.8</v>
      </c>
      <c r="G80" s="6">
        <v>10.2</v>
      </c>
      <c r="H80" s="6">
        <v>4.5</v>
      </c>
      <c r="I80" s="6">
        <f>G80-H80</f>
        <v>5.699999999999999</v>
      </c>
      <c r="J80" s="6">
        <v>7.35</v>
      </c>
      <c r="K80" s="5">
        <v>216.6</v>
      </c>
      <c r="L80" s="6">
        <v>47.7</v>
      </c>
      <c r="M80" s="5">
        <f>K80+L80</f>
        <v>264.3</v>
      </c>
      <c r="N80" s="5">
        <v>559.9</v>
      </c>
      <c r="O80" s="5">
        <v>71.4</v>
      </c>
      <c r="P80" s="5">
        <f>N80+O80</f>
        <v>631.3</v>
      </c>
      <c r="Q80" s="6">
        <v>40.3</v>
      </c>
      <c r="R80" s="5">
        <v>72.0</v>
      </c>
      <c r="S80" s="5">
        <v>119.0</v>
      </c>
      <c r="T80" s="5">
        <f>Q80+R80+S80</f>
        <v>231.3</v>
      </c>
      <c r="U80" s="6">
        <v>12.5</v>
      </c>
      <c r="V80" s="6">
        <v>47.6</v>
      </c>
      <c r="W80" s="5">
        <f>U80+V80</f>
        <v>60.1</v>
      </c>
      <c r="X80" s="5">
        <f>P80+T80+W80</f>
        <v>922.7</v>
      </c>
      <c r="Y80" s="3" t="s">
        <v>50</v>
      </c>
      <c r="Z80" s="3" t="s">
        <v>1199</v>
      </c>
    </row>
    <row r="81" spans="8:8" ht="18.75" customHeight="1">
      <c r="A81" s="7" t="s">
        <v>674</v>
      </c>
      <c r="B81" s="8" t="s">
        <v>604</v>
      </c>
      <c r="C81" s="8" t="s">
        <v>675</v>
      </c>
      <c r="D81" s="8" t="s">
        <v>677</v>
      </c>
      <c r="E81" s="8" t="s">
        <v>678</v>
      </c>
      <c r="F81" s="11">
        <v>5.5</v>
      </c>
      <c r="G81" s="11">
        <v>12.8</v>
      </c>
      <c r="H81" s="11">
        <v>5.9</v>
      </c>
      <c r="I81" s="11">
        <f>G81-H81</f>
        <v>6.9</v>
      </c>
      <c r="J81" s="11">
        <v>9.35</v>
      </c>
      <c r="K81" s="10">
        <v>379.5</v>
      </c>
      <c r="L81" s="10">
        <v>83.5</v>
      </c>
      <c r="M81" s="10">
        <f>K81+L81</f>
        <v>463.0</v>
      </c>
      <c r="N81" s="10">
        <v>540.5</v>
      </c>
      <c r="O81" s="10">
        <v>104.2</v>
      </c>
      <c r="P81" s="10">
        <f>N81+O81</f>
        <v>644.7</v>
      </c>
      <c r="Q81" s="11">
        <v>45.9</v>
      </c>
      <c r="R81" s="10">
        <v>85.5</v>
      </c>
      <c r="S81" s="10">
        <v>173.6</v>
      </c>
      <c r="T81" s="10">
        <f>Q81+R81+S81</f>
        <v>305.0</v>
      </c>
      <c r="U81" s="11">
        <v>12.2</v>
      </c>
      <c r="V81" s="10">
        <v>69.4</v>
      </c>
      <c r="W81" s="10">
        <f>U81+V81</f>
        <v>81.60000000000001</v>
      </c>
      <c r="X81" s="10">
        <f>P81+T81+W81</f>
        <v>1031.3</v>
      </c>
      <c r="Y81" s="8" t="s">
        <v>106</v>
      </c>
      <c r="Z81" s="8" t="s">
        <v>1200</v>
      </c>
    </row>
    <row r="82" spans="8:8" ht="18.75" customHeight="1">
      <c r="A82" s="2" t="s">
        <v>679</v>
      </c>
      <c r="B82" s="3" t="s">
        <v>680</v>
      </c>
      <c r="C82" s="3" t="s">
        <v>681</v>
      </c>
      <c r="D82" s="3" t="s">
        <v>684</v>
      </c>
      <c r="E82" s="3" t="s">
        <v>687</v>
      </c>
      <c r="F82" s="6">
        <v>14.0</v>
      </c>
      <c r="G82" s="6">
        <v>16.5</v>
      </c>
      <c r="H82" s="6">
        <v>12.8</v>
      </c>
      <c r="I82" s="6">
        <f>G82-H82</f>
        <v>3.6999999999999993</v>
      </c>
      <c r="J82" s="6">
        <v>14.65</v>
      </c>
      <c r="K82" s="5">
        <v>518.0</v>
      </c>
      <c r="L82" s="5">
        <v>114.0</v>
      </c>
      <c r="M82" s="5">
        <f>K82+L82</f>
        <v>632.0</v>
      </c>
      <c r="N82" s="5">
        <v>514.6</v>
      </c>
      <c r="O82" s="5">
        <v>104.3</v>
      </c>
      <c r="P82" s="5">
        <f>N82+O82</f>
        <v>618.9</v>
      </c>
      <c r="Q82" s="5">
        <v>99.3</v>
      </c>
      <c r="R82" s="5">
        <v>65.2</v>
      </c>
      <c r="S82" s="5">
        <v>173.8</v>
      </c>
      <c r="T82" s="5">
        <f>Q82+R82+S82</f>
        <v>338.3</v>
      </c>
      <c r="U82" s="6">
        <v>39.8</v>
      </c>
      <c r="V82" s="5">
        <v>69.5</v>
      </c>
      <c r="W82" s="5">
        <f>U82+V82</f>
        <v>109.3</v>
      </c>
      <c r="X82" s="5">
        <f>P82+T82+W82</f>
        <v>1066.5</v>
      </c>
      <c r="Y82" s="3" t="s">
        <v>147</v>
      </c>
      <c r="Z82" s="3" t="s">
        <v>1201</v>
      </c>
    </row>
    <row r="83" spans="8:8" ht="18.75" customHeight="1">
      <c r="A83" s="7" t="s">
        <v>688</v>
      </c>
      <c r="B83" s="8" t="s">
        <v>680</v>
      </c>
      <c r="C83" s="8" t="s">
        <v>689</v>
      </c>
      <c r="D83" s="8" t="s">
        <v>691</v>
      </c>
      <c r="E83" s="8" t="s">
        <v>693</v>
      </c>
      <c r="F83" s="11">
        <v>16.0</v>
      </c>
      <c r="G83" s="11">
        <v>29.8</v>
      </c>
      <c r="H83" s="11">
        <v>26.5</v>
      </c>
      <c r="I83" s="11">
        <f>G83-H83</f>
        <v>3.3000000000000007</v>
      </c>
      <c r="J83" s="11">
        <v>28.15</v>
      </c>
      <c r="K83" s="10">
        <v>528.0</v>
      </c>
      <c r="L83" s="10">
        <v>116.2</v>
      </c>
      <c r="M83" s="10">
        <f>K83+L83</f>
        <v>644.2</v>
      </c>
      <c r="N83" s="10">
        <v>353.9</v>
      </c>
      <c r="O83" s="10">
        <v>67.6</v>
      </c>
      <c r="P83" s="10">
        <f>N83+O83</f>
        <v>421.5</v>
      </c>
      <c r="Q83" s="10">
        <v>69.2</v>
      </c>
      <c r="R83" s="10">
        <v>78.8</v>
      </c>
      <c r="S83" s="10">
        <v>112.8</v>
      </c>
      <c r="T83" s="10">
        <f>Q83+R83+S83</f>
        <v>260.8</v>
      </c>
      <c r="U83" s="11">
        <v>32.2</v>
      </c>
      <c r="V83" s="11">
        <v>45.1</v>
      </c>
      <c r="W83" s="10">
        <f>U83+V83</f>
        <v>77.30000000000001</v>
      </c>
      <c r="X83" s="10">
        <f>P83+T83+W83</f>
        <v>759.5999999999999</v>
      </c>
      <c r="Y83" s="8" t="s">
        <v>238</v>
      </c>
      <c r="Z83" s="8" t="s">
        <v>1201</v>
      </c>
    </row>
    <row r="84" spans="8:8" ht="18.75" customHeight="1">
      <c r="A84" s="2" t="s">
        <v>694</v>
      </c>
      <c r="B84" s="3" t="s">
        <v>680</v>
      </c>
      <c r="C84" s="3" t="s">
        <v>695</v>
      </c>
      <c r="D84" s="3" t="s">
        <v>697</v>
      </c>
      <c r="E84" s="3" t="s">
        <v>699</v>
      </c>
      <c r="F84" s="6">
        <v>13.0</v>
      </c>
      <c r="G84" s="6">
        <v>12.4</v>
      </c>
      <c r="H84" s="6">
        <v>9.8</v>
      </c>
      <c r="I84" s="6">
        <f>G84-H84</f>
        <v>2.5999999999999996</v>
      </c>
      <c r="J84" s="6">
        <v>11.1</v>
      </c>
      <c r="K84" s="5">
        <v>338.0</v>
      </c>
      <c r="L84" s="5">
        <v>74.4</v>
      </c>
      <c r="M84" s="5">
        <f>K84+L84</f>
        <v>412.4</v>
      </c>
      <c r="N84" s="5">
        <v>216.9</v>
      </c>
      <c r="O84" s="6">
        <v>43.3</v>
      </c>
      <c r="P84" s="5">
        <f>N84+O84</f>
        <v>260.2</v>
      </c>
      <c r="Q84" s="6">
        <v>39.9</v>
      </c>
      <c r="R84" s="6">
        <v>26.0</v>
      </c>
      <c r="S84" s="5">
        <v>72.2</v>
      </c>
      <c r="T84" s="5">
        <f>Q84+R84+S84</f>
        <v>138.10000000000002</v>
      </c>
      <c r="U84" s="6">
        <v>25.7</v>
      </c>
      <c r="V84" s="6">
        <v>28.9</v>
      </c>
      <c r="W84" s="5">
        <f>U84+V84</f>
        <v>54.599999999999994</v>
      </c>
      <c r="X84" s="5">
        <f>P84+T84+W84</f>
        <v>452.90000000000003</v>
      </c>
      <c r="Y84" s="3" t="s">
        <v>238</v>
      </c>
      <c r="Z84" s="3" t="s">
        <v>1201</v>
      </c>
    </row>
    <row r="85" spans="8:8" ht="18.75" customHeight="1">
      <c r="A85" s="7" t="s">
        <v>703</v>
      </c>
      <c r="B85" s="8" t="s">
        <v>704</v>
      </c>
      <c r="C85" s="8" t="s">
        <v>705</v>
      </c>
      <c r="D85" s="8" t="s">
        <v>708</v>
      </c>
      <c r="E85" s="8" t="s">
        <v>710</v>
      </c>
      <c r="F85" s="11">
        <v>16.0</v>
      </c>
      <c r="G85" s="11">
        <v>26.4</v>
      </c>
      <c r="H85" s="11">
        <v>23.1</v>
      </c>
      <c r="I85" s="11">
        <f>G85-H85</f>
        <v>3.299999999999997</v>
      </c>
      <c r="J85" s="11">
        <v>24.75</v>
      </c>
      <c r="K85" s="10">
        <v>528.0</v>
      </c>
      <c r="L85" s="10">
        <v>116.2</v>
      </c>
      <c r="M85" s="10">
        <f>K85+L85</f>
        <v>644.2</v>
      </c>
      <c r="N85" s="10">
        <v>410.7</v>
      </c>
      <c r="O85" s="10">
        <v>67.6</v>
      </c>
      <c r="P85" s="10">
        <f>N85+O85</f>
        <v>478.29999999999995</v>
      </c>
      <c r="Q85" s="10">
        <v>66.3</v>
      </c>
      <c r="R85" s="10">
        <v>78.8</v>
      </c>
      <c r="S85" s="10">
        <v>112.8</v>
      </c>
      <c r="T85" s="10">
        <f>Q85+R85+S85</f>
        <v>257.9</v>
      </c>
      <c r="U85" s="11">
        <v>30.9</v>
      </c>
      <c r="V85" s="11">
        <v>45.1</v>
      </c>
      <c r="W85" s="10">
        <f>U85+V85</f>
        <v>76.0</v>
      </c>
      <c r="X85" s="10">
        <f>P85+T85+W85</f>
        <v>812.2</v>
      </c>
      <c r="Y85" s="8" t="s">
        <v>238</v>
      </c>
      <c r="Z85" s="8" t="s">
        <v>1201</v>
      </c>
    </row>
    <row r="86" spans="8:8" ht="18.75" customHeight="1">
      <c r="A86" s="2" t="s">
        <v>711</v>
      </c>
      <c r="B86" s="3" t="s">
        <v>704</v>
      </c>
      <c r="C86" s="3" t="s">
        <v>712</v>
      </c>
      <c r="D86" s="3" t="s">
        <v>714</v>
      </c>
      <c r="E86" s="3" t="s">
        <v>716</v>
      </c>
      <c r="F86" s="6">
        <v>12.0</v>
      </c>
      <c r="G86" s="6">
        <v>18.5</v>
      </c>
      <c r="H86" s="6">
        <v>15.2</v>
      </c>
      <c r="I86" s="6">
        <f>G86-H86</f>
        <v>3.3000000000000007</v>
      </c>
      <c r="J86" s="6">
        <v>16.85</v>
      </c>
      <c r="K86" s="5">
        <v>396.0</v>
      </c>
      <c r="L86" s="5">
        <v>87.1</v>
      </c>
      <c r="M86" s="5">
        <f>K86+L86</f>
        <v>483.1</v>
      </c>
      <c r="N86" s="5">
        <v>227.2</v>
      </c>
      <c r="O86" s="5">
        <v>50.7</v>
      </c>
      <c r="P86" s="5">
        <f>N86+O86</f>
        <v>277.9</v>
      </c>
      <c r="Q86" s="6">
        <v>37.1</v>
      </c>
      <c r="R86" s="6">
        <v>23.0</v>
      </c>
      <c r="S86" s="5">
        <v>84.5</v>
      </c>
      <c r="T86" s="5">
        <f>Q86+R86+S86</f>
        <v>144.6</v>
      </c>
      <c r="U86" s="6">
        <v>20.2</v>
      </c>
      <c r="V86" s="6">
        <v>33.8</v>
      </c>
      <c r="W86" s="5">
        <f>U86+V86</f>
        <v>54.0</v>
      </c>
      <c r="X86" s="5">
        <f>P86+T86+W86</f>
        <v>476.5</v>
      </c>
      <c r="Y86" s="3" t="s">
        <v>238</v>
      </c>
      <c r="Z86" s="3" t="s">
        <v>1201</v>
      </c>
    </row>
    <row r="87" spans="8:8" ht="18.75" customHeight="1">
      <c r="A87" s="7" t="s">
        <v>717</v>
      </c>
      <c r="B87" s="8" t="s">
        <v>704</v>
      </c>
      <c r="C87" s="8" t="s">
        <v>718</v>
      </c>
      <c r="D87" s="8" t="s">
        <v>720</v>
      </c>
      <c r="E87" s="8" t="s">
        <v>721</v>
      </c>
      <c r="F87" s="11">
        <v>10.0</v>
      </c>
      <c r="G87" s="11">
        <v>34.2</v>
      </c>
      <c r="H87" s="11">
        <v>29.8</v>
      </c>
      <c r="I87" s="11">
        <f>G87-H87</f>
        <v>4.400000000000002</v>
      </c>
      <c r="J87" s="11">
        <v>32.0</v>
      </c>
      <c r="K87" s="10">
        <v>440.0</v>
      </c>
      <c r="L87" s="10">
        <v>96.8</v>
      </c>
      <c r="M87" s="10">
        <f>K87+L87</f>
        <v>536.8</v>
      </c>
      <c r="N87" s="10">
        <v>300.6</v>
      </c>
      <c r="O87" s="10">
        <v>56.4</v>
      </c>
      <c r="P87" s="10">
        <f>N87+O87</f>
        <v>357.0</v>
      </c>
      <c r="Q87" s="11">
        <v>39.5</v>
      </c>
      <c r="R87" s="11">
        <v>21.0</v>
      </c>
      <c r="S87" s="10">
        <v>94.0</v>
      </c>
      <c r="T87" s="10">
        <f>Q87+R87+S87</f>
        <v>154.5</v>
      </c>
      <c r="U87" s="11">
        <v>22.0</v>
      </c>
      <c r="V87" s="11">
        <v>37.6</v>
      </c>
      <c r="W87" s="10">
        <f>U87+V87</f>
        <v>59.6</v>
      </c>
      <c r="X87" s="10">
        <f>P87+T87+W87</f>
        <v>571.1</v>
      </c>
      <c r="Y87" s="8" t="s">
        <v>238</v>
      </c>
      <c r="Z87" s="8" t="s">
        <v>1201</v>
      </c>
    </row>
    <row r="88" spans="8:8" ht="18.75" customHeight="1">
      <c r="A88" s="2" t="s">
        <v>722</v>
      </c>
      <c r="B88" s="3" t="s">
        <v>723</v>
      </c>
      <c r="C88" s="3" t="s">
        <v>724</v>
      </c>
      <c r="D88" s="3" t="s">
        <v>726</v>
      </c>
      <c r="E88" s="3" t="s">
        <v>729</v>
      </c>
      <c r="F88" s="6">
        <v>12.0</v>
      </c>
      <c r="G88" s="6">
        <v>24.8</v>
      </c>
      <c r="H88" s="6">
        <v>20.4</v>
      </c>
      <c r="I88" s="6">
        <f>G88-H88</f>
        <v>4.400000000000002</v>
      </c>
      <c r="J88" s="6">
        <v>22.6</v>
      </c>
      <c r="K88" s="5">
        <v>528.0</v>
      </c>
      <c r="L88" s="5">
        <v>116.2</v>
      </c>
      <c r="M88" s="5">
        <f>K88+L88</f>
        <v>644.2</v>
      </c>
      <c r="N88" s="5">
        <v>393.8</v>
      </c>
      <c r="O88" s="5">
        <v>106.3</v>
      </c>
      <c r="P88" s="5">
        <f>N88+O88</f>
        <v>500.1</v>
      </c>
      <c r="Q88" s="5">
        <v>51.8</v>
      </c>
      <c r="R88" s="5">
        <v>63.0</v>
      </c>
      <c r="S88" s="5">
        <v>177.2</v>
      </c>
      <c r="T88" s="5">
        <f>Q88+R88+S88</f>
        <v>292.0</v>
      </c>
      <c r="U88" s="6">
        <v>28.9</v>
      </c>
      <c r="V88" s="5">
        <v>70.9</v>
      </c>
      <c r="W88" s="5">
        <f>U88+V88</f>
        <v>99.80000000000001</v>
      </c>
      <c r="X88" s="5">
        <f>P88+T88+W88</f>
        <v>891.9</v>
      </c>
      <c r="Y88" s="3" t="s">
        <v>147</v>
      </c>
      <c r="Z88" s="3" t="s">
        <v>1201</v>
      </c>
    </row>
    <row r="89" spans="8:8" ht="18.75" customHeight="1">
      <c r="A89" s="7" t="s">
        <v>733</v>
      </c>
      <c r="B89" s="8" t="s">
        <v>734</v>
      </c>
      <c r="C89" s="8" t="s">
        <v>735</v>
      </c>
      <c r="D89" s="8" t="s">
        <v>739</v>
      </c>
      <c r="E89" s="8" t="s">
        <v>742</v>
      </c>
      <c r="F89" s="11">
        <v>18.0</v>
      </c>
      <c r="G89" s="11">
        <v>6.2</v>
      </c>
      <c r="H89" s="11">
        <v>2.8</v>
      </c>
      <c r="I89" s="11">
        <f>G89-H89</f>
        <v>3.4000000000000004</v>
      </c>
      <c r="J89" s="11">
        <v>4.5</v>
      </c>
      <c r="K89" s="10">
        <v>612.0</v>
      </c>
      <c r="L89" s="10">
        <v>134.6</v>
      </c>
      <c r="M89" s="10">
        <f>K89+L89</f>
        <v>746.6</v>
      </c>
      <c r="N89" s="10">
        <v>680.3</v>
      </c>
      <c r="O89" s="10">
        <v>201.6</v>
      </c>
      <c r="P89" s="10">
        <f>N89+O89</f>
        <v>881.9</v>
      </c>
      <c r="Q89" s="10">
        <v>88.3</v>
      </c>
      <c r="R89" s="10">
        <v>85.5</v>
      </c>
      <c r="S89" s="10">
        <v>335.9</v>
      </c>
      <c r="T89" s="10">
        <f>Q89+R89+S89</f>
        <v>509.7</v>
      </c>
      <c r="U89" s="11">
        <v>41.2</v>
      </c>
      <c r="V89" s="10">
        <v>134.4</v>
      </c>
      <c r="W89" s="10">
        <f>U89+V89</f>
        <v>175.60000000000002</v>
      </c>
      <c r="X89" s="10">
        <f>P89+T89+W89</f>
        <v>1567.1999999999998</v>
      </c>
      <c r="Y89" s="8" t="s">
        <v>50</v>
      </c>
      <c r="Z89" s="8" t="s">
        <v>1199</v>
      </c>
    </row>
    <row r="90" spans="8:8" ht="18.75" customHeight="1">
      <c r="A90" s="2" t="s">
        <v>746</v>
      </c>
      <c r="B90" s="3" t="s">
        <v>734</v>
      </c>
      <c r="C90" s="3" t="s">
        <v>747</v>
      </c>
      <c r="D90" s="3" t="s">
        <v>749</v>
      </c>
      <c r="E90" s="3" t="s">
        <v>751</v>
      </c>
      <c r="F90" s="6">
        <v>16.5</v>
      </c>
      <c r="G90" s="6">
        <v>16.4</v>
      </c>
      <c r="H90" s="6">
        <v>11.8</v>
      </c>
      <c r="I90" s="6">
        <f>G90-H90</f>
        <v>4.599999999999998</v>
      </c>
      <c r="J90" s="6">
        <v>14.1</v>
      </c>
      <c r="K90" s="5">
        <v>759.0</v>
      </c>
      <c r="L90" s="5">
        <v>167.0</v>
      </c>
      <c r="M90" s="5">
        <f>K90+L90</f>
        <v>926.0</v>
      </c>
      <c r="N90" s="5">
        <v>478.2</v>
      </c>
      <c r="O90" s="5">
        <v>208.3</v>
      </c>
      <c r="P90" s="5">
        <f>N90+O90</f>
        <v>686.5</v>
      </c>
      <c r="Q90" s="5">
        <v>62.8</v>
      </c>
      <c r="R90" s="5">
        <v>83.2</v>
      </c>
      <c r="S90" s="5">
        <v>347.2</v>
      </c>
      <c r="T90" s="5">
        <f>Q90+R90+S90</f>
        <v>493.2</v>
      </c>
      <c r="U90" s="6">
        <v>35.2</v>
      </c>
      <c r="V90" s="5">
        <v>138.9</v>
      </c>
      <c r="W90" s="5">
        <f>U90+V90</f>
        <v>174.10000000000002</v>
      </c>
      <c r="X90" s="5">
        <f>P90+T90+W90</f>
        <v>1353.8</v>
      </c>
      <c r="Y90" s="3" t="s">
        <v>106</v>
      </c>
      <c r="Z90" s="3" t="s">
        <v>1200</v>
      </c>
    </row>
    <row r="91" spans="8:8" ht="18.75" customHeight="1">
      <c r="A91" s="7" t="s">
        <v>752</v>
      </c>
      <c r="B91" s="8" t="s">
        <v>734</v>
      </c>
      <c r="C91" s="8" t="s">
        <v>753</v>
      </c>
      <c r="D91" s="8" t="s">
        <v>755</v>
      </c>
      <c r="E91" s="8" t="s">
        <v>756</v>
      </c>
      <c r="F91" s="11">
        <v>16.0</v>
      </c>
      <c r="G91" s="11">
        <v>11.2</v>
      </c>
      <c r="H91" s="11">
        <v>6.8</v>
      </c>
      <c r="I91" s="11">
        <f>G91-H91</f>
        <v>4.3999999999999995</v>
      </c>
      <c r="J91" s="11">
        <v>9.0</v>
      </c>
      <c r="K91" s="10">
        <v>704.0</v>
      </c>
      <c r="L91" s="10">
        <v>154.9</v>
      </c>
      <c r="M91" s="10">
        <f>K91+L91</f>
        <v>858.9</v>
      </c>
      <c r="N91" s="10">
        <v>561.7</v>
      </c>
      <c r="O91" s="10">
        <v>193.3</v>
      </c>
      <c r="P91" s="10">
        <f>N91+O91</f>
        <v>755.0</v>
      </c>
      <c r="Q91" s="10">
        <v>64.8</v>
      </c>
      <c r="R91" s="10">
        <v>78.8</v>
      </c>
      <c r="S91" s="10">
        <v>322.1</v>
      </c>
      <c r="T91" s="10">
        <f>Q91+R91+S91</f>
        <v>465.70000000000005</v>
      </c>
      <c r="U91" s="11">
        <v>33.7</v>
      </c>
      <c r="V91" s="10">
        <v>128.8</v>
      </c>
      <c r="W91" s="10">
        <f>U91+V91</f>
        <v>162.5</v>
      </c>
      <c r="X91" s="10">
        <f>P91+T91+W91</f>
        <v>1383.2</v>
      </c>
      <c r="Y91" s="8" t="s">
        <v>106</v>
      </c>
      <c r="Z91" s="8" t="s">
        <v>1200</v>
      </c>
    </row>
    <row r="92" spans="8:8" ht="18.75" customHeight="1">
      <c r="A92" s="2" t="s">
        <v>757</v>
      </c>
      <c r="B92" s="3" t="s">
        <v>734</v>
      </c>
      <c r="C92" s="3" t="s">
        <v>758</v>
      </c>
      <c r="D92" s="3" t="s">
        <v>760</v>
      </c>
      <c r="E92" s="3" t="s">
        <v>762</v>
      </c>
      <c r="F92" s="6">
        <v>14.0</v>
      </c>
      <c r="G92" s="6">
        <v>18.6</v>
      </c>
      <c r="H92" s="6">
        <v>13.5</v>
      </c>
      <c r="I92" s="6">
        <f>G92-H92</f>
        <v>5.100000000000001</v>
      </c>
      <c r="J92" s="6">
        <v>16.05</v>
      </c>
      <c r="K92" s="5">
        <v>714.0</v>
      </c>
      <c r="L92" s="5">
        <v>157.1</v>
      </c>
      <c r="M92" s="5">
        <f>K92+L92</f>
        <v>871.1</v>
      </c>
      <c r="N92" s="5">
        <v>400.4</v>
      </c>
      <c r="O92" s="5">
        <v>196.0</v>
      </c>
      <c r="P92" s="5">
        <f>N92+O92</f>
        <v>596.4</v>
      </c>
      <c r="Q92" s="6">
        <v>40.7</v>
      </c>
      <c r="R92" s="5">
        <v>67.5</v>
      </c>
      <c r="S92" s="5">
        <v>326.6</v>
      </c>
      <c r="T92" s="5">
        <f>Q92+R92+S92</f>
        <v>434.8</v>
      </c>
      <c r="U92" s="6">
        <v>23.7</v>
      </c>
      <c r="V92" s="5">
        <v>130.7</v>
      </c>
      <c r="W92" s="5">
        <f>U92+V92</f>
        <v>154.39999999999998</v>
      </c>
      <c r="X92" s="5">
        <f>P92+T92+W92</f>
        <v>1185.6000000000001</v>
      </c>
      <c r="Y92" s="3" t="s">
        <v>106</v>
      </c>
      <c r="Z92" s="3" t="s">
        <v>1200</v>
      </c>
    </row>
    <row r="93" spans="8:8" ht="18.75" customHeight="1">
      <c r="A93" s="7" t="s">
        <v>763</v>
      </c>
      <c r="B93" s="8" t="s">
        <v>734</v>
      </c>
      <c r="C93" s="8" t="s">
        <v>764</v>
      </c>
      <c r="D93" s="8" t="s">
        <v>767</v>
      </c>
      <c r="E93" s="8" t="s">
        <v>769</v>
      </c>
      <c r="F93" s="11">
        <v>16.0</v>
      </c>
      <c r="G93" s="11">
        <v>10.4</v>
      </c>
      <c r="H93" s="11">
        <v>5.6</v>
      </c>
      <c r="I93" s="11">
        <f>G93-H93</f>
        <v>4.800000000000001</v>
      </c>
      <c r="J93" s="11">
        <v>8.0</v>
      </c>
      <c r="K93" s="10">
        <v>768.0</v>
      </c>
      <c r="L93" s="10">
        <v>169.0</v>
      </c>
      <c r="M93" s="10">
        <f>K93+L93</f>
        <v>937.0</v>
      </c>
      <c r="N93" s="10">
        <v>523.1</v>
      </c>
      <c r="O93" s="10">
        <v>210.8</v>
      </c>
      <c r="P93" s="10">
        <f>N93+O93</f>
        <v>733.9000000000001</v>
      </c>
      <c r="Q93" s="10">
        <v>59.7</v>
      </c>
      <c r="R93" s="10">
        <v>78.8</v>
      </c>
      <c r="S93" s="10">
        <v>351.4</v>
      </c>
      <c r="T93" s="10">
        <f>Q93+R93+S93</f>
        <v>489.9</v>
      </c>
      <c r="U93" s="11">
        <v>24.7</v>
      </c>
      <c r="V93" s="10">
        <v>140.6</v>
      </c>
      <c r="W93" s="10">
        <f>U93+V93</f>
        <v>165.29999999999998</v>
      </c>
      <c r="X93" s="10">
        <f>P93+T93+W93</f>
        <v>1389.1</v>
      </c>
      <c r="Y93" s="8" t="s">
        <v>106</v>
      </c>
      <c r="Z93" s="8" t="s">
        <v>1200</v>
      </c>
    </row>
    <row r="94" spans="8:8" ht="18.75" customHeight="1">
      <c r="A94" s="2" t="s">
        <v>770</v>
      </c>
      <c r="B94" s="3" t="s">
        <v>734</v>
      </c>
      <c r="C94" s="3" t="s">
        <v>771</v>
      </c>
      <c r="D94" s="3" t="s">
        <v>773</v>
      </c>
      <c r="E94" s="3" t="s">
        <v>775</v>
      </c>
      <c r="F94" s="6">
        <v>3.5</v>
      </c>
      <c r="G94" s="6">
        <v>12.8</v>
      </c>
      <c r="H94" s="6">
        <v>6.4</v>
      </c>
      <c r="I94" s="6">
        <f>G94-H94</f>
        <v>6.4</v>
      </c>
      <c r="J94" s="6">
        <v>9.6</v>
      </c>
      <c r="K94" s="5">
        <v>224.0</v>
      </c>
      <c r="L94" s="6">
        <v>49.3</v>
      </c>
      <c r="M94" s="5">
        <f>K94+L94</f>
        <v>273.3</v>
      </c>
      <c r="N94" s="5">
        <v>512.9</v>
      </c>
      <c r="O94" s="5">
        <v>73.8</v>
      </c>
      <c r="P94" s="5">
        <f>N94+O94</f>
        <v>586.6999999999999</v>
      </c>
      <c r="Q94" s="6">
        <v>44.0</v>
      </c>
      <c r="R94" s="5">
        <v>65.2</v>
      </c>
      <c r="S94" s="5">
        <v>123.0</v>
      </c>
      <c r="T94" s="5">
        <f>Q94+R94+S94</f>
        <v>232.2</v>
      </c>
      <c r="U94" s="6">
        <v>17.6</v>
      </c>
      <c r="V94" s="6">
        <v>49.2</v>
      </c>
      <c r="W94" s="5">
        <f>U94+V94</f>
        <v>66.80000000000001</v>
      </c>
      <c r="X94" s="5">
        <f>P94+T94+W94</f>
        <v>885.6999999999999</v>
      </c>
      <c r="Y94" s="3" t="s">
        <v>50</v>
      </c>
      <c r="Z94" s="3" t="s">
        <v>1199</v>
      </c>
    </row>
    <row r="95" spans="8:8" ht="18.75" customHeight="1">
      <c r="A95" s="7" t="s">
        <v>776</v>
      </c>
      <c r="B95" s="8" t="s">
        <v>734</v>
      </c>
      <c r="C95" s="8" t="s">
        <v>777</v>
      </c>
      <c r="D95" s="8" t="s">
        <v>780</v>
      </c>
      <c r="E95" s="8" t="s">
        <v>781</v>
      </c>
      <c r="F95" s="11">
        <v>17.0</v>
      </c>
      <c r="G95" s="11">
        <v>5.8</v>
      </c>
      <c r="H95" s="11">
        <v>2.4</v>
      </c>
      <c r="I95" s="11">
        <f>G95-H95</f>
        <v>3.4</v>
      </c>
      <c r="J95" s="11">
        <v>4.1</v>
      </c>
      <c r="K95" s="10">
        <v>578.0</v>
      </c>
      <c r="L95" s="10">
        <v>127.2</v>
      </c>
      <c r="M95" s="10">
        <f>K95+L95</f>
        <v>705.2</v>
      </c>
      <c r="N95" s="10">
        <v>709.6</v>
      </c>
      <c r="O95" s="10">
        <v>190.4</v>
      </c>
      <c r="P95" s="10">
        <f>N95+O95</f>
        <v>900.0</v>
      </c>
      <c r="Q95" s="10">
        <v>72.0</v>
      </c>
      <c r="R95" s="10">
        <v>83.2</v>
      </c>
      <c r="S95" s="10">
        <v>317.4</v>
      </c>
      <c r="T95" s="10">
        <f>Q95+R95+S95</f>
        <v>472.59999999999997</v>
      </c>
      <c r="U95" s="11">
        <v>41.9</v>
      </c>
      <c r="V95" s="10">
        <v>126.9</v>
      </c>
      <c r="W95" s="10">
        <f>U95+V95</f>
        <v>168.8</v>
      </c>
      <c r="X95" s="10">
        <f>P95+T95+W95</f>
        <v>1541.3999999999999</v>
      </c>
      <c r="Y95" s="8" t="s">
        <v>50</v>
      </c>
      <c r="Z95" s="8" t="s">
        <v>1199</v>
      </c>
    </row>
    <row r="96" spans="8:8" ht="18.75" customHeight="1">
      <c r="A96" s="2" t="s">
        <v>785</v>
      </c>
      <c r="B96" s="3" t="s">
        <v>734</v>
      </c>
      <c r="C96" s="3" t="s">
        <v>786</v>
      </c>
      <c r="D96" s="3" t="s">
        <v>788</v>
      </c>
      <c r="E96" s="3" t="s">
        <v>789</v>
      </c>
      <c r="F96" s="6">
        <v>16.0</v>
      </c>
      <c r="G96" s="6">
        <v>9.6</v>
      </c>
      <c r="H96" s="6">
        <v>4.8</v>
      </c>
      <c r="I96" s="6">
        <f>G96-H96</f>
        <v>4.8</v>
      </c>
      <c r="J96" s="6">
        <v>7.2</v>
      </c>
      <c r="K96" s="5">
        <v>768.0</v>
      </c>
      <c r="L96" s="5">
        <v>169.0</v>
      </c>
      <c r="M96" s="5">
        <f>K96+L96</f>
        <v>937.0</v>
      </c>
      <c r="N96" s="5">
        <v>598.5</v>
      </c>
      <c r="O96" s="5">
        <v>210.8</v>
      </c>
      <c r="P96" s="5">
        <f>N96+O96</f>
        <v>809.3</v>
      </c>
      <c r="Q96" s="5">
        <v>68.3</v>
      </c>
      <c r="R96" s="5">
        <v>81.0</v>
      </c>
      <c r="S96" s="5">
        <v>351.4</v>
      </c>
      <c r="T96" s="5">
        <f>Q96+R96+S96</f>
        <v>500.7</v>
      </c>
      <c r="U96" s="6">
        <v>28.3</v>
      </c>
      <c r="V96" s="5">
        <v>140.6</v>
      </c>
      <c r="W96" s="5">
        <f>U96+V96</f>
        <v>168.9</v>
      </c>
      <c r="X96" s="5">
        <f>P96+T96+W96</f>
        <v>1478.9</v>
      </c>
      <c r="Y96" s="3" t="s">
        <v>106</v>
      </c>
      <c r="Z96" s="3" t="s">
        <v>1200</v>
      </c>
    </row>
    <row r="97" spans="8:8" ht="18.75" customHeight="1">
      <c r="A97" s="7" t="s">
        <v>790</v>
      </c>
      <c r="B97" s="8" t="s">
        <v>734</v>
      </c>
      <c r="C97" s="8" t="s">
        <v>791</v>
      </c>
      <c r="D97" s="8" t="s">
        <v>793</v>
      </c>
      <c r="E97" s="8" t="s">
        <v>794</v>
      </c>
      <c r="F97" s="11">
        <v>4.5</v>
      </c>
      <c r="G97" s="11">
        <v>11.4</v>
      </c>
      <c r="H97" s="11">
        <v>5.2</v>
      </c>
      <c r="I97" s="11">
        <f>G97-H97</f>
        <v>6.2</v>
      </c>
      <c r="J97" s="11">
        <v>8.3</v>
      </c>
      <c r="K97" s="10">
        <v>279.0</v>
      </c>
      <c r="L97" s="10">
        <v>61.4</v>
      </c>
      <c r="M97" s="10">
        <f>K97+L97</f>
        <v>340.4</v>
      </c>
      <c r="N97" s="10">
        <v>650.6</v>
      </c>
      <c r="O97" s="10">
        <v>91.9</v>
      </c>
      <c r="P97" s="10">
        <f>N97+O97</f>
        <v>742.5</v>
      </c>
      <c r="Q97" s="10">
        <v>73.4</v>
      </c>
      <c r="R97" s="10">
        <v>63.0</v>
      </c>
      <c r="S97" s="10">
        <v>153.2</v>
      </c>
      <c r="T97" s="10">
        <f>Q97+R97+S97</f>
        <v>289.6</v>
      </c>
      <c r="U97" s="11">
        <v>22.8</v>
      </c>
      <c r="V97" s="10">
        <v>61.3</v>
      </c>
      <c r="W97" s="10">
        <f>U97+V97</f>
        <v>84.1</v>
      </c>
      <c r="X97" s="10">
        <f>P97+T97+W97</f>
        <v>1116.1999999999998</v>
      </c>
      <c r="Y97" s="8" t="s">
        <v>50</v>
      </c>
      <c r="Z97" s="8" t="s">
        <v>1199</v>
      </c>
    </row>
    <row r="98" spans="8:8" ht="18.75" customHeight="1">
      <c r="A98" s="2" t="s">
        <v>795</v>
      </c>
      <c r="B98" s="3" t="s">
        <v>796</v>
      </c>
      <c r="C98" s="3" t="s">
        <v>797</v>
      </c>
      <c r="D98" s="3" t="s">
        <v>799</v>
      </c>
      <c r="E98" s="3" t="s">
        <v>800</v>
      </c>
      <c r="F98" s="6">
        <v>17.5</v>
      </c>
      <c r="G98" s="6">
        <v>5.6</v>
      </c>
      <c r="H98" s="6">
        <v>2.2</v>
      </c>
      <c r="I98" s="6">
        <f>G98-H98</f>
        <v>3.3999999999999995</v>
      </c>
      <c r="J98" s="6">
        <v>3.9</v>
      </c>
      <c r="K98" s="5">
        <v>595.0</v>
      </c>
      <c r="L98" s="5">
        <v>130.9</v>
      </c>
      <c r="M98" s="5">
        <f>K98+L98</f>
        <v>725.9</v>
      </c>
      <c r="N98" s="5">
        <v>701.7</v>
      </c>
      <c r="O98" s="5">
        <v>196.0</v>
      </c>
      <c r="P98" s="5">
        <f>N98+O98</f>
        <v>897.7</v>
      </c>
      <c r="Q98" s="5">
        <v>82.9</v>
      </c>
      <c r="R98" s="5">
        <v>83.2</v>
      </c>
      <c r="S98" s="5">
        <v>326.6</v>
      </c>
      <c r="T98" s="5">
        <f>Q98+R98+S98</f>
        <v>492.70000000000005</v>
      </c>
      <c r="U98" s="5">
        <v>60.1</v>
      </c>
      <c r="V98" s="5">
        <v>130.7</v>
      </c>
      <c r="W98" s="5">
        <f>U98+V98</f>
        <v>190.79999999999998</v>
      </c>
      <c r="X98" s="5">
        <f>P98+T98+W98</f>
        <v>1581.2</v>
      </c>
      <c r="Y98" s="3" t="s">
        <v>50</v>
      </c>
      <c r="Z98" s="3" t="s">
        <v>1199</v>
      </c>
    </row>
    <row r="99" spans="8:8" ht="18.75" customHeight="1">
      <c r="A99" s="7" t="s">
        <v>801</v>
      </c>
      <c r="B99" s="8" t="s">
        <v>796</v>
      </c>
      <c r="C99" s="8" t="s">
        <v>802</v>
      </c>
      <c r="D99" s="8" t="s">
        <v>804</v>
      </c>
      <c r="E99" s="8" t="s">
        <v>808</v>
      </c>
      <c r="F99" s="11">
        <v>18.0</v>
      </c>
      <c r="G99" s="11">
        <v>4.4</v>
      </c>
      <c r="H99" s="11">
        <v>1.8</v>
      </c>
      <c r="I99" s="11">
        <f>G99-H99</f>
        <v>2.6000000000000005</v>
      </c>
      <c r="J99" s="11">
        <v>3.1</v>
      </c>
      <c r="K99" s="10">
        <v>468.0</v>
      </c>
      <c r="L99" s="10">
        <v>103.0</v>
      </c>
      <c r="M99" s="10">
        <f>K99+L99</f>
        <v>571.0</v>
      </c>
      <c r="N99" s="10">
        <v>795.9</v>
      </c>
      <c r="O99" s="10">
        <v>154.2</v>
      </c>
      <c r="P99" s="10">
        <f>N99+O99</f>
        <v>950.0999999999999</v>
      </c>
      <c r="Q99" s="10">
        <v>86.7</v>
      </c>
      <c r="R99" s="10">
        <v>76.5</v>
      </c>
      <c r="S99" s="10">
        <v>256.9</v>
      </c>
      <c r="T99" s="10">
        <f>Q99+R99+S99</f>
        <v>420.09999999999997</v>
      </c>
      <c r="U99" s="10">
        <v>111.2</v>
      </c>
      <c r="V99" s="10">
        <v>102.8</v>
      </c>
      <c r="W99" s="10">
        <f>U99+V99</f>
        <v>214.0</v>
      </c>
      <c r="X99" s="10">
        <f>P99+T99+W99</f>
        <v>1584.2</v>
      </c>
      <c r="Y99" s="8" t="s">
        <v>50</v>
      </c>
      <c r="Z99" s="8" t="s">
        <v>1199</v>
      </c>
    </row>
    <row r="100" spans="8:8" ht="18.75" customHeight="1">
      <c r="A100" s="2" t="s">
        <v>809</v>
      </c>
      <c r="B100" s="3" t="s">
        <v>796</v>
      </c>
      <c r="C100" s="3" t="s">
        <v>810</v>
      </c>
      <c r="D100" s="3" t="s">
        <v>812</v>
      </c>
      <c r="E100" s="3" t="s">
        <v>814</v>
      </c>
      <c r="F100" s="6">
        <v>12.0</v>
      </c>
      <c r="G100" s="6">
        <v>7.8</v>
      </c>
      <c r="H100" s="6">
        <v>3.6</v>
      </c>
      <c r="I100" s="6">
        <f>G100-H100</f>
        <v>4.199999999999999</v>
      </c>
      <c r="J100" s="6">
        <v>5.7</v>
      </c>
      <c r="K100" s="5">
        <v>504.0</v>
      </c>
      <c r="L100" s="5">
        <v>110.9</v>
      </c>
      <c r="M100" s="5">
        <f>K100+L100</f>
        <v>614.9</v>
      </c>
      <c r="N100" s="5">
        <v>632.2</v>
      </c>
      <c r="O100" s="5">
        <v>166.0</v>
      </c>
      <c r="P100" s="5">
        <f>N100+O100</f>
        <v>798.2</v>
      </c>
      <c r="Q100" s="5">
        <v>83.0</v>
      </c>
      <c r="R100" s="5">
        <v>78.8</v>
      </c>
      <c r="S100" s="5">
        <v>276.7</v>
      </c>
      <c r="T100" s="5">
        <f>Q100+R100+S100</f>
        <v>438.5</v>
      </c>
      <c r="U100" s="6">
        <v>46.5</v>
      </c>
      <c r="V100" s="5">
        <v>110.7</v>
      </c>
      <c r="W100" s="5">
        <f>U100+V100</f>
        <v>157.2</v>
      </c>
      <c r="X100" s="5">
        <f>P100+T100+W100</f>
        <v>1393.9</v>
      </c>
      <c r="Y100" s="3" t="s">
        <v>50</v>
      </c>
      <c r="Z100" s="3" t="s">
        <v>1199</v>
      </c>
    </row>
    <row r="101" spans="8:8" ht="18.75" customHeight="1">
      <c r="A101" s="7" t="s">
        <v>815</v>
      </c>
      <c r="B101" s="8" t="s">
        <v>796</v>
      </c>
      <c r="C101" s="8" t="s">
        <v>816</v>
      </c>
      <c r="D101" s="8" t="s">
        <v>818</v>
      </c>
      <c r="E101" s="8" t="s">
        <v>819</v>
      </c>
      <c r="F101" s="11">
        <v>15.0</v>
      </c>
      <c r="G101" s="11">
        <v>8.5</v>
      </c>
      <c r="H101" s="11">
        <v>4.1</v>
      </c>
      <c r="I101" s="11">
        <f>G101-H101</f>
        <v>4.4</v>
      </c>
      <c r="J101" s="11">
        <v>6.3</v>
      </c>
      <c r="K101" s="10">
        <v>660.0</v>
      </c>
      <c r="L101" s="10">
        <v>145.2</v>
      </c>
      <c r="M101" s="10">
        <f>K101+L101</f>
        <v>805.2</v>
      </c>
      <c r="N101" s="10">
        <v>573.3</v>
      </c>
      <c r="O101" s="10">
        <v>217.4</v>
      </c>
      <c r="P101" s="10">
        <f>N101+O101</f>
        <v>790.6999999999999</v>
      </c>
      <c r="Q101" s="10">
        <v>73.5</v>
      </c>
      <c r="R101" s="10">
        <v>81.0</v>
      </c>
      <c r="S101" s="10">
        <v>362.4</v>
      </c>
      <c r="T101" s="10">
        <f>Q101+R101+S101</f>
        <v>516.9</v>
      </c>
      <c r="U101" s="11">
        <v>27.5</v>
      </c>
      <c r="V101" s="10">
        <v>144.9</v>
      </c>
      <c r="W101" s="10">
        <f>U101+V101</f>
        <v>172.4</v>
      </c>
      <c r="X101" s="10">
        <f>P101+T101+W101</f>
        <v>1480.0</v>
      </c>
      <c r="Y101" s="8" t="s">
        <v>50</v>
      </c>
      <c r="Z101" s="8" t="s">
        <v>1199</v>
      </c>
    </row>
    <row r="102" spans="8:8" ht="18.75" customHeight="1">
      <c r="A102" s="2" t="s">
        <v>820</v>
      </c>
      <c r="B102" s="3" t="s">
        <v>821</v>
      </c>
      <c r="C102" s="3" t="s">
        <v>822</v>
      </c>
      <c r="D102" s="3" t="s">
        <v>824</v>
      </c>
      <c r="E102" s="3" t="s">
        <v>825</v>
      </c>
      <c r="F102" s="6">
        <v>3.5</v>
      </c>
      <c r="G102" s="6">
        <v>9.6</v>
      </c>
      <c r="H102" s="6">
        <v>3.8</v>
      </c>
      <c r="I102" s="6">
        <f>G102-H102</f>
        <v>5.8</v>
      </c>
      <c r="J102" s="6">
        <v>6.7</v>
      </c>
      <c r="K102" s="5">
        <v>203.0</v>
      </c>
      <c r="L102" s="6">
        <v>44.7</v>
      </c>
      <c r="M102" s="5">
        <f>K102+L102</f>
        <v>247.7</v>
      </c>
      <c r="N102" s="5">
        <v>732.5</v>
      </c>
      <c r="O102" s="5">
        <v>66.9</v>
      </c>
      <c r="P102" s="5">
        <f>N102+O102</f>
        <v>799.4</v>
      </c>
      <c r="Q102" s="5">
        <v>97.3</v>
      </c>
      <c r="R102" s="5">
        <v>60.8</v>
      </c>
      <c r="S102" s="5">
        <v>111.5</v>
      </c>
      <c r="T102" s="5">
        <f>Q102+R102+S102</f>
        <v>269.6</v>
      </c>
      <c r="U102" s="5">
        <v>63.6</v>
      </c>
      <c r="V102" s="6">
        <v>44.6</v>
      </c>
      <c r="W102" s="5">
        <f>U102+V102</f>
        <v>108.2</v>
      </c>
      <c r="X102" s="5">
        <f>P102+T102+W102</f>
        <v>1177.2</v>
      </c>
      <c r="Y102" s="3" t="s">
        <v>50</v>
      </c>
      <c r="Z102" s="3" t="s">
        <v>1199</v>
      </c>
    </row>
    <row r="103" spans="8:8" ht="18.75" customHeight="1">
      <c r="A103" s="7" t="s">
        <v>826</v>
      </c>
      <c r="B103" s="8" t="s">
        <v>821</v>
      </c>
      <c r="C103" s="8" t="s">
        <v>827</v>
      </c>
      <c r="D103" s="8" t="s">
        <v>829</v>
      </c>
      <c r="E103" s="8" t="s">
        <v>830</v>
      </c>
      <c r="F103" s="11">
        <v>3.2</v>
      </c>
      <c r="G103" s="11">
        <v>10.8</v>
      </c>
      <c r="H103" s="11">
        <v>4.6</v>
      </c>
      <c r="I103" s="11">
        <f>G103-H103</f>
        <v>6.200000000000001</v>
      </c>
      <c r="J103" s="11">
        <v>7.7</v>
      </c>
      <c r="K103" s="10">
        <v>198.4</v>
      </c>
      <c r="L103" s="11">
        <v>43.6</v>
      </c>
      <c r="M103" s="10">
        <f>K103+L103</f>
        <v>242.0</v>
      </c>
      <c r="N103" s="10">
        <v>678.6</v>
      </c>
      <c r="O103" s="10">
        <v>65.3</v>
      </c>
      <c r="P103" s="10">
        <f>N103+O103</f>
        <v>743.9</v>
      </c>
      <c r="Q103" s="10">
        <v>87.0</v>
      </c>
      <c r="R103" s="10">
        <v>56.2</v>
      </c>
      <c r="S103" s="10">
        <v>108.9</v>
      </c>
      <c r="T103" s="10">
        <f>Q103+R103+S103</f>
        <v>252.1</v>
      </c>
      <c r="U103" s="11">
        <v>32.5</v>
      </c>
      <c r="V103" s="11">
        <v>43.6</v>
      </c>
      <c r="W103" s="10">
        <f>U103+V103</f>
        <v>76.1</v>
      </c>
      <c r="X103" s="10">
        <f>P103+T103+W103</f>
        <v>1072.1</v>
      </c>
      <c r="Y103" s="8" t="s">
        <v>50</v>
      </c>
      <c r="Z103" s="8" t="s">
        <v>1199</v>
      </c>
    </row>
    <row r="104" spans="8:8" ht="18.75" customHeight="1">
      <c r="A104" s="2" t="s">
        <v>831</v>
      </c>
      <c r="B104" s="3" t="s">
        <v>821</v>
      </c>
      <c r="C104" s="3" t="s">
        <v>832</v>
      </c>
      <c r="D104" s="3" t="s">
        <v>834</v>
      </c>
      <c r="E104" s="3" t="s">
        <v>835</v>
      </c>
      <c r="F104" s="6">
        <v>3.5</v>
      </c>
      <c r="G104" s="6">
        <v>8.9</v>
      </c>
      <c r="H104" s="6">
        <v>3.5</v>
      </c>
      <c r="I104" s="6">
        <f>G104-H104</f>
        <v>5.4</v>
      </c>
      <c r="J104" s="6">
        <v>6.2</v>
      </c>
      <c r="K104" s="5">
        <v>189.0</v>
      </c>
      <c r="L104" s="6">
        <v>41.6</v>
      </c>
      <c r="M104" s="5">
        <f>K104+L104</f>
        <v>230.6</v>
      </c>
      <c r="N104" s="5">
        <v>743.3</v>
      </c>
      <c r="O104" s="5">
        <v>62.2</v>
      </c>
      <c r="P104" s="5">
        <f>N104+O104</f>
        <v>805.5</v>
      </c>
      <c r="Q104" s="5">
        <v>111.4</v>
      </c>
      <c r="R104" s="5">
        <v>63.0</v>
      </c>
      <c r="S104" s="5">
        <v>103.8</v>
      </c>
      <c r="T104" s="5">
        <f>Q104+R104+S104</f>
        <v>278.2</v>
      </c>
      <c r="U104" s="5">
        <v>75.5</v>
      </c>
      <c r="V104" s="6">
        <v>41.5</v>
      </c>
      <c r="W104" s="5">
        <f>U104+V104</f>
        <v>117.0</v>
      </c>
      <c r="X104" s="5">
        <f>P104+T104+W104</f>
        <v>1200.7</v>
      </c>
      <c r="Y104" s="3" t="s">
        <v>50</v>
      </c>
      <c r="Z104" s="3" t="s">
        <v>1199</v>
      </c>
    </row>
    <row r="105" spans="8:8" ht="18.75" customHeight="1">
      <c r="A105" s="7" t="s">
        <v>836</v>
      </c>
      <c r="B105" s="8" t="s">
        <v>837</v>
      </c>
      <c r="C105" s="8" t="s">
        <v>838</v>
      </c>
      <c r="D105" s="8" t="s">
        <v>842</v>
      </c>
      <c r="E105" s="8" t="s">
        <v>845</v>
      </c>
      <c r="F105" s="11">
        <v>3.5</v>
      </c>
      <c r="G105" s="11">
        <v>5.2</v>
      </c>
      <c r="H105" s="11">
        <v>2.0</v>
      </c>
      <c r="I105" s="11">
        <f>G105-H105</f>
        <v>3.2</v>
      </c>
      <c r="J105" s="11">
        <v>3.6</v>
      </c>
      <c r="K105" s="10">
        <v>112.0</v>
      </c>
      <c r="L105" s="11">
        <v>24.6</v>
      </c>
      <c r="M105" s="10">
        <f>K105+L105</f>
        <v>136.6</v>
      </c>
      <c r="N105" s="10">
        <v>1595.1</v>
      </c>
      <c r="O105" s="11">
        <v>36.9</v>
      </c>
      <c r="P105" s="10">
        <f>N105+O105</f>
        <v>1632.0</v>
      </c>
      <c r="Q105" s="10">
        <v>175.9</v>
      </c>
      <c r="R105" s="10">
        <v>74.2</v>
      </c>
      <c r="S105" s="10">
        <v>61.5</v>
      </c>
      <c r="T105" s="10">
        <f>Q105+R105+S105</f>
        <v>311.6</v>
      </c>
      <c r="U105" s="10">
        <v>246.4</v>
      </c>
      <c r="V105" s="11">
        <v>24.6</v>
      </c>
      <c r="W105" s="10">
        <f>U105+V105</f>
        <v>271.0</v>
      </c>
      <c r="X105" s="10">
        <f>P105+T105+W105</f>
        <v>2214.6</v>
      </c>
      <c r="Y105" s="8" t="s">
        <v>50</v>
      </c>
      <c r="Z105" s="8" t="s">
        <v>1199</v>
      </c>
    </row>
    <row r="106" spans="8:8" ht="18.75" customHeight="1">
      <c r="A106" s="2" t="s">
        <v>850</v>
      </c>
      <c r="B106" s="3" t="s">
        <v>837</v>
      </c>
      <c r="C106" s="3" t="s">
        <v>851</v>
      </c>
      <c r="D106" s="3" t="s">
        <v>854</v>
      </c>
      <c r="E106" s="3" t="s">
        <v>856</v>
      </c>
      <c r="F106" s="6">
        <v>18.0</v>
      </c>
      <c r="G106" s="6">
        <v>4.1</v>
      </c>
      <c r="H106" s="6">
        <v>1.6</v>
      </c>
      <c r="I106" s="6">
        <f>G106-H106</f>
        <v>2.4999999999999996</v>
      </c>
      <c r="J106" s="6">
        <v>2.85</v>
      </c>
      <c r="K106" s="5">
        <v>450.0</v>
      </c>
      <c r="L106" s="5">
        <v>99.0</v>
      </c>
      <c r="M106" s="5">
        <f>K106+L106</f>
        <v>549.0</v>
      </c>
      <c r="N106" s="5">
        <v>1674.9</v>
      </c>
      <c r="O106" s="5">
        <v>148.2</v>
      </c>
      <c r="P106" s="5">
        <f>N106+O106</f>
        <v>1823.1000000000001</v>
      </c>
      <c r="Q106" s="5">
        <v>163.7</v>
      </c>
      <c r="R106" s="5">
        <v>72.0</v>
      </c>
      <c r="S106" s="5">
        <v>247.1</v>
      </c>
      <c r="T106" s="5">
        <f>Q106+R106+S106</f>
        <v>482.79999999999995</v>
      </c>
      <c r="U106" s="5">
        <v>305.5</v>
      </c>
      <c r="V106" s="5">
        <v>98.8</v>
      </c>
      <c r="W106" s="5">
        <f>U106+V106</f>
        <v>404.3</v>
      </c>
      <c r="X106" s="5">
        <f>P106+T106+W106</f>
        <v>2710.2000000000003</v>
      </c>
      <c r="Y106" s="3" t="s">
        <v>50</v>
      </c>
      <c r="Z106" s="3" t="s">
        <v>1199</v>
      </c>
    </row>
    <row r="107" spans="8:8" ht="18.75" customHeight="1">
      <c r="A107" s="7" t="s">
        <v>857</v>
      </c>
      <c r="B107" s="8" t="s">
        <v>837</v>
      </c>
      <c r="C107" s="8" t="s">
        <v>858</v>
      </c>
      <c r="D107" s="8" t="s">
        <v>861</v>
      </c>
      <c r="E107" s="8" t="s">
        <v>863</v>
      </c>
      <c r="F107" s="11">
        <v>12.0</v>
      </c>
      <c r="G107" s="11">
        <v>11.4</v>
      </c>
      <c r="H107" s="11">
        <v>5.2</v>
      </c>
      <c r="I107" s="11">
        <f>G107-H107</f>
        <v>6.2</v>
      </c>
      <c r="J107" s="11">
        <v>8.3</v>
      </c>
      <c r="K107" s="10">
        <v>744.0</v>
      </c>
      <c r="L107" s="10">
        <v>163.7</v>
      </c>
      <c r="M107" s="10">
        <f>K107+L107</f>
        <v>907.7</v>
      </c>
      <c r="N107" s="10">
        <v>778.7</v>
      </c>
      <c r="O107" s="10">
        <v>245.1</v>
      </c>
      <c r="P107" s="10">
        <f>N107+O107</f>
        <v>1023.8000000000001</v>
      </c>
      <c r="Q107" s="10">
        <v>110.2</v>
      </c>
      <c r="R107" s="10">
        <v>78.8</v>
      </c>
      <c r="S107" s="10">
        <v>408.4</v>
      </c>
      <c r="T107" s="10">
        <f>Q107+R107+S107</f>
        <v>597.4</v>
      </c>
      <c r="U107" s="10">
        <v>123.3</v>
      </c>
      <c r="V107" s="10">
        <v>163.4</v>
      </c>
      <c r="W107" s="10">
        <f>U107+V107</f>
        <v>286.7</v>
      </c>
      <c r="X107" s="10">
        <f>P107+T107+W107</f>
        <v>1907.9</v>
      </c>
      <c r="Y107" s="8" t="s">
        <v>50</v>
      </c>
      <c r="Z107" s="8" t="s">
        <v>1199</v>
      </c>
    </row>
    <row r="108" spans="8:8" ht="18.75" customHeight="1">
      <c r="A108" s="2" t="s">
        <v>864</v>
      </c>
      <c r="B108" s="3" t="s">
        <v>837</v>
      </c>
      <c r="C108" s="3" t="s">
        <v>865</v>
      </c>
      <c r="D108" s="3" t="s">
        <v>867</v>
      </c>
      <c r="E108" s="3" t="s">
        <v>869</v>
      </c>
      <c r="F108" s="6">
        <v>16.5</v>
      </c>
      <c r="G108" s="6">
        <v>8.6</v>
      </c>
      <c r="H108" s="6">
        <v>3.8</v>
      </c>
      <c r="I108" s="6">
        <f>G108-H108</f>
        <v>4.8</v>
      </c>
      <c r="J108" s="6">
        <v>6.2</v>
      </c>
      <c r="K108" s="5">
        <v>792.0</v>
      </c>
      <c r="L108" s="5">
        <v>174.2</v>
      </c>
      <c r="M108" s="5">
        <f>K108+L108</f>
        <v>966.2</v>
      </c>
      <c r="N108" s="5">
        <v>786.0</v>
      </c>
      <c r="O108" s="5">
        <v>260.9</v>
      </c>
      <c r="P108" s="5">
        <f>N108+O108</f>
        <v>1046.9</v>
      </c>
      <c r="Q108" s="5">
        <v>125.5</v>
      </c>
      <c r="R108" s="5">
        <v>87.8</v>
      </c>
      <c r="S108" s="5">
        <v>434.8</v>
      </c>
      <c r="T108" s="5">
        <f>Q108+R108+S108</f>
        <v>648.1</v>
      </c>
      <c r="U108" s="5">
        <v>138.4</v>
      </c>
      <c r="V108" s="5">
        <v>173.9</v>
      </c>
      <c r="W108" s="5">
        <f>U108+V108</f>
        <v>312.3</v>
      </c>
      <c r="X108" s="5">
        <f>P108+T108+W108</f>
        <v>2007.3</v>
      </c>
      <c r="Y108" s="3" t="s">
        <v>50</v>
      </c>
      <c r="Z108" s="3" t="s">
        <v>1199</v>
      </c>
    </row>
    <row r="109" spans="8:8" ht="18.75" customHeight="1">
      <c r="A109" s="7" t="s">
        <v>870</v>
      </c>
      <c r="B109" s="8" t="s">
        <v>837</v>
      </c>
      <c r="C109" s="8" t="s">
        <v>871</v>
      </c>
      <c r="D109" s="8" t="s">
        <v>873</v>
      </c>
      <c r="E109" s="8" t="s">
        <v>875</v>
      </c>
      <c r="F109" s="11">
        <v>5.0</v>
      </c>
      <c r="G109" s="11">
        <v>10.2</v>
      </c>
      <c r="H109" s="11">
        <v>4.4</v>
      </c>
      <c r="I109" s="11">
        <f>G109-H109</f>
        <v>5.799999999999999</v>
      </c>
      <c r="J109" s="11">
        <v>7.3</v>
      </c>
      <c r="K109" s="10">
        <v>290.0</v>
      </c>
      <c r="L109" s="10">
        <v>63.8</v>
      </c>
      <c r="M109" s="10">
        <f>K109+L109</f>
        <v>353.8</v>
      </c>
      <c r="N109" s="10">
        <v>733.7</v>
      </c>
      <c r="O109" s="10">
        <v>95.5</v>
      </c>
      <c r="P109" s="10">
        <f>N109+O109</f>
        <v>829.2</v>
      </c>
      <c r="Q109" s="10">
        <v>101.2</v>
      </c>
      <c r="R109" s="10">
        <v>56.2</v>
      </c>
      <c r="S109" s="10">
        <v>159.2</v>
      </c>
      <c r="T109" s="10">
        <f>Q109+R109+S109</f>
        <v>316.6</v>
      </c>
      <c r="U109" s="10">
        <v>94.4</v>
      </c>
      <c r="V109" s="10">
        <v>63.7</v>
      </c>
      <c r="W109" s="10">
        <f>U109+V109</f>
        <v>158.10000000000002</v>
      </c>
      <c r="X109" s="10">
        <f>P109+T109+W109</f>
        <v>1303.8999999999999</v>
      </c>
      <c r="Y109" s="8" t="s">
        <v>50</v>
      </c>
      <c r="Z109" s="8" t="s">
        <v>1199</v>
      </c>
    </row>
    <row r="110" spans="8:8" ht="18.75" customHeight="1">
      <c r="A110" s="2" t="s">
        <v>876</v>
      </c>
      <c r="B110" s="3" t="s">
        <v>837</v>
      </c>
      <c r="C110" s="3" t="s">
        <v>877</v>
      </c>
      <c r="D110" s="3" t="s">
        <v>879</v>
      </c>
      <c r="E110" s="3" t="s">
        <v>882</v>
      </c>
      <c r="F110" s="6">
        <v>10.0</v>
      </c>
      <c r="G110" s="6">
        <v>4.8</v>
      </c>
      <c r="H110" s="6">
        <v>1.9</v>
      </c>
      <c r="I110" s="6">
        <f>G110-H110</f>
        <v>2.9</v>
      </c>
      <c r="J110" s="6">
        <v>3.35</v>
      </c>
      <c r="K110" s="5">
        <v>290.0</v>
      </c>
      <c r="L110" s="5">
        <v>63.8</v>
      </c>
      <c r="M110" s="5">
        <f>K110+L110</f>
        <v>353.8</v>
      </c>
      <c r="N110" s="5">
        <v>896.0</v>
      </c>
      <c r="O110" s="5">
        <v>95.5</v>
      </c>
      <c r="P110" s="5">
        <f>N110+O110</f>
        <v>991.5</v>
      </c>
      <c r="Q110" s="5">
        <v>184.4</v>
      </c>
      <c r="R110" s="5">
        <v>85.5</v>
      </c>
      <c r="S110" s="5">
        <v>159.2</v>
      </c>
      <c r="T110" s="5">
        <f>Q110+R110+S110</f>
        <v>429.09999999999997</v>
      </c>
      <c r="U110" s="5">
        <v>135.3</v>
      </c>
      <c r="V110" s="5">
        <v>63.7</v>
      </c>
      <c r="W110" s="5">
        <f>U110+V110</f>
        <v>199.0</v>
      </c>
      <c r="X110" s="5">
        <f>P110+T110+W110</f>
        <v>1619.6</v>
      </c>
      <c r="Y110" s="3" t="s">
        <v>50</v>
      </c>
      <c r="Z110" s="3" t="s">
        <v>1199</v>
      </c>
    </row>
    <row r="111" spans="8:8" ht="18.75" customHeight="1">
      <c r="A111" s="7" t="s">
        <v>883</v>
      </c>
      <c r="B111" s="8" t="s">
        <v>884</v>
      </c>
      <c r="C111" s="8" t="s">
        <v>885</v>
      </c>
      <c r="D111" s="8" t="s">
        <v>887</v>
      </c>
      <c r="E111" s="8" t="s">
        <v>888</v>
      </c>
      <c r="F111" s="11">
        <v>4.0</v>
      </c>
      <c r="G111" s="11">
        <v>7.8</v>
      </c>
      <c r="H111" s="11">
        <v>3.2</v>
      </c>
      <c r="I111" s="11">
        <f>G111-H111</f>
        <v>4.6</v>
      </c>
      <c r="J111" s="11">
        <v>5.5</v>
      </c>
      <c r="K111" s="10">
        <v>184.0</v>
      </c>
      <c r="L111" s="11">
        <v>40.5</v>
      </c>
      <c r="M111" s="10">
        <f>K111+L111</f>
        <v>224.5</v>
      </c>
      <c r="N111" s="10">
        <v>813.8</v>
      </c>
      <c r="O111" s="10">
        <v>60.6</v>
      </c>
      <c r="P111" s="10">
        <f>N111+O111</f>
        <v>874.4</v>
      </c>
      <c r="Q111" s="10">
        <v>95.1</v>
      </c>
      <c r="R111" s="10">
        <v>60.8</v>
      </c>
      <c r="S111" s="10">
        <v>101.0</v>
      </c>
      <c r="T111" s="10">
        <f>Q111+R111+S111</f>
        <v>256.9</v>
      </c>
      <c r="U111" s="10">
        <v>59.1</v>
      </c>
      <c r="V111" s="11">
        <v>40.4</v>
      </c>
      <c r="W111" s="10">
        <f>U111+V111</f>
        <v>99.5</v>
      </c>
      <c r="X111" s="10">
        <f>P111+T111+W111</f>
        <v>1230.8</v>
      </c>
      <c r="Y111" s="8" t="s">
        <v>50</v>
      </c>
      <c r="Z111" s="8" t="s">
        <v>1199</v>
      </c>
    </row>
    <row r="112" spans="8:8" ht="18.75" customHeight="1">
      <c r="A112" s="2" t="s">
        <v>889</v>
      </c>
      <c r="B112" s="3" t="s">
        <v>884</v>
      </c>
      <c r="C112" s="3" t="s">
        <v>890</v>
      </c>
      <c r="D112" s="3" t="s">
        <v>892</v>
      </c>
      <c r="E112" s="3" t="s">
        <v>893</v>
      </c>
      <c r="F112" s="6">
        <v>4.5</v>
      </c>
      <c r="G112" s="6">
        <v>8.2</v>
      </c>
      <c r="H112" s="6">
        <v>3.4</v>
      </c>
      <c r="I112" s="6">
        <f>G112-H112</f>
        <v>4.799999999999999</v>
      </c>
      <c r="J112" s="6">
        <v>5.8</v>
      </c>
      <c r="K112" s="5">
        <v>216.0</v>
      </c>
      <c r="L112" s="6">
        <v>47.5</v>
      </c>
      <c r="M112" s="5">
        <f>K112+L112</f>
        <v>263.5</v>
      </c>
      <c r="N112" s="5">
        <v>816.4</v>
      </c>
      <c r="O112" s="5">
        <v>71.2</v>
      </c>
      <c r="P112" s="5">
        <f>N112+O112</f>
        <v>887.6</v>
      </c>
      <c r="Q112" s="5">
        <v>125.4</v>
      </c>
      <c r="R112" s="5">
        <v>63.0</v>
      </c>
      <c r="S112" s="5">
        <v>118.6</v>
      </c>
      <c r="T112" s="5">
        <f>Q112+R112+S112</f>
        <v>307.0</v>
      </c>
      <c r="U112" s="5">
        <v>106.4</v>
      </c>
      <c r="V112" s="6">
        <v>47.4</v>
      </c>
      <c r="W112" s="5">
        <f>U112+V112</f>
        <v>153.8</v>
      </c>
      <c r="X112" s="5">
        <f>P112+T112+W112</f>
        <v>1348.3999999999999</v>
      </c>
      <c r="Y112" s="3" t="s">
        <v>50</v>
      </c>
      <c r="Z112" s="3" t="s">
        <v>1199</v>
      </c>
    </row>
    <row r="113" spans="8:8" ht="18.75" customHeight="1">
      <c r="A113" s="7" t="s">
        <v>894</v>
      </c>
      <c r="B113" s="8" t="s">
        <v>884</v>
      </c>
      <c r="C113" s="8" t="s">
        <v>895</v>
      </c>
      <c r="D113" s="8" t="s">
        <v>897</v>
      </c>
      <c r="E113" s="8" t="s">
        <v>899</v>
      </c>
      <c r="F113" s="11">
        <v>14.0</v>
      </c>
      <c r="G113" s="11">
        <v>6.4</v>
      </c>
      <c r="H113" s="11">
        <v>2.5</v>
      </c>
      <c r="I113" s="11">
        <f>G113-H113</f>
        <v>3.9000000000000004</v>
      </c>
      <c r="J113" s="11">
        <v>4.45</v>
      </c>
      <c r="K113" s="10">
        <v>546.0</v>
      </c>
      <c r="L113" s="10">
        <v>120.1</v>
      </c>
      <c r="M113" s="10">
        <f>K113+L113</f>
        <v>666.1</v>
      </c>
      <c r="N113" s="10">
        <v>776.5</v>
      </c>
      <c r="O113" s="10">
        <v>179.8</v>
      </c>
      <c r="P113" s="10">
        <f>N113+O113</f>
        <v>956.3</v>
      </c>
      <c r="Q113" s="10">
        <v>162.1</v>
      </c>
      <c r="R113" s="10">
        <v>81.0</v>
      </c>
      <c r="S113" s="10">
        <v>299.8</v>
      </c>
      <c r="T113" s="10">
        <f>Q113+R113+S113</f>
        <v>542.9</v>
      </c>
      <c r="U113" s="10">
        <v>129.6</v>
      </c>
      <c r="V113" s="10">
        <v>119.9</v>
      </c>
      <c r="W113" s="10">
        <f>U113+V113</f>
        <v>249.5</v>
      </c>
      <c r="X113" s="10">
        <f>P113+T113+W113</f>
        <v>1748.7</v>
      </c>
      <c r="Y113" s="8" t="s">
        <v>50</v>
      </c>
      <c r="Z113" s="8" t="s">
        <v>1199</v>
      </c>
    </row>
    <row r="114" spans="8:8" ht="18.75" customHeight="1">
      <c r="A114" s="2" t="s">
        <v>900</v>
      </c>
      <c r="B114" s="3" t="s">
        <v>884</v>
      </c>
      <c r="C114" s="3" t="s">
        <v>901</v>
      </c>
      <c r="D114" s="3" t="s">
        <v>903</v>
      </c>
      <c r="E114" s="3" t="s">
        <v>905</v>
      </c>
      <c r="F114" s="6">
        <v>14.5</v>
      </c>
      <c r="G114" s="6">
        <v>5.8</v>
      </c>
      <c r="H114" s="6">
        <v>2.2</v>
      </c>
      <c r="I114" s="6">
        <f>G114-H114</f>
        <v>3.5999999999999996</v>
      </c>
      <c r="J114" s="6">
        <v>4.0</v>
      </c>
      <c r="K114" s="5">
        <v>522.0</v>
      </c>
      <c r="L114" s="5">
        <v>114.8</v>
      </c>
      <c r="M114" s="5">
        <f>K114+L114</f>
        <v>636.8</v>
      </c>
      <c r="N114" s="5">
        <v>730.7</v>
      </c>
      <c r="O114" s="5">
        <v>171.9</v>
      </c>
      <c r="P114" s="5">
        <f>N114+O114</f>
        <v>902.6</v>
      </c>
      <c r="Q114" s="5">
        <v>187.7</v>
      </c>
      <c r="R114" s="5">
        <v>85.5</v>
      </c>
      <c r="S114" s="5">
        <v>286.6</v>
      </c>
      <c r="T114" s="5">
        <f>Q114+R114+S114</f>
        <v>559.8</v>
      </c>
      <c r="U114" s="5">
        <v>103.1</v>
      </c>
      <c r="V114" s="5">
        <v>114.6</v>
      </c>
      <c r="W114" s="5">
        <f>U114+V114</f>
        <v>217.7</v>
      </c>
      <c r="X114" s="5">
        <f>P114+T114+W114</f>
        <v>1680.1000000000001</v>
      </c>
      <c r="Y114" s="3" t="s">
        <v>50</v>
      </c>
      <c r="Z114" s="3" t="s">
        <v>1199</v>
      </c>
    </row>
    <row r="115" spans="8:8" ht="18.75" customHeight="1">
      <c r="A115" s="7" t="s">
        <v>906</v>
      </c>
      <c r="B115" s="8" t="s">
        <v>884</v>
      </c>
      <c r="C115" s="8" t="s">
        <v>907</v>
      </c>
      <c r="D115" s="8" t="s">
        <v>909</v>
      </c>
      <c r="E115" s="8" t="s">
        <v>910</v>
      </c>
      <c r="F115" s="11">
        <v>4.0</v>
      </c>
      <c r="G115" s="11">
        <v>7.2</v>
      </c>
      <c r="H115" s="11">
        <v>2.9</v>
      </c>
      <c r="I115" s="11">
        <f>G115-H115</f>
        <v>4.300000000000001</v>
      </c>
      <c r="J115" s="11">
        <v>5.05</v>
      </c>
      <c r="K115" s="10">
        <v>172.0</v>
      </c>
      <c r="L115" s="11">
        <v>37.8</v>
      </c>
      <c r="M115" s="10">
        <f>K115+L115</f>
        <v>209.8</v>
      </c>
      <c r="N115" s="10">
        <v>788.1</v>
      </c>
      <c r="O115" s="10">
        <v>56.6</v>
      </c>
      <c r="P115" s="10">
        <f>N115+O115</f>
        <v>844.7</v>
      </c>
      <c r="Q115" s="10">
        <v>146.8</v>
      </c>
      <c r="R115" s="10">
        <v>65.2</v>
      </c>
      <c r="S115" s="10">
        <v>94.4</v>
      </c>
      <c r="T115" s="10">
        <f>Q115+R115+S115</f>
        <v>306.4</v>
      </c>
      <c r="U115" s="10">
        <v>105.3</v>
      </c>
      <c r="V115" s="11">
        <v>37.8</v>
      </c>
      <c r="W115" s="10">
        <f>U115+V115</f>
        <v>143.1</v>
      </c>
      <c r="X115" s="10">
        <f>P115+T115+W115</f>
        <v>1294.1999999999998</v>
      </c>
      <c r="Y115" s="8" t="s">
        <v>50</v>
      </c>
      <c r="Z115" s="8" t="s">
        <v>1199</v>
      </c>
    </row>
    <row r="116" spans="8:8" ht="18.75" customHeight="1">
      <c r="A116" s="2" t="s">
        <v>911</v>
      </c>
      <c r="B116" s="3" t="s">
        <v>884</v>
      </c>
      <c r="C116" s="3" t="s">
        <v>912</v>
      </c>
      <c r="D116" s="3" t="s">
        <v>914</v>
      </c>
      <c r="E116" s="3" t="s">
        <v>915</v>
      </c>
      <c r="F116" s="6">
        <v>4.5</v>
      </c>
      <c r="G116" s="6">
        <v>6.8</v>
      </c>
      <c r="H116" s="6">
        <v>2.5</v>
      </c>
      <c r="I116" s="6">
        <f>G116-H116</f>
        <v>4.3</v>
      </c>
      <c r="J116" s="6">
        <v>4.65</v>
      </c>
      <c r="K116" s="5">
        <v>193.5</v>
      </c>
      <c r="L116" s="6">
        <v>42.6</v>
      </c>
      <c r="M116" s="5">
        <f>K116+L116</f>
        <v>236.1</v>
      </c>
      <c r="N116" s="5">
        <v>860.9</v>
      </c>
      <c r="O116" s="5">
        <v>63.8</v>
      </c>
      <c r="P116" s="5">
        <f>N116+O116</f>
        <v>924.6999999999999</v>
      </c>
      <c r="Q116" s="5">
        <v>117.2</v>
      </c>
      <c r="R116" s="5">
        <v>67.5</v>
      </c>
      <c r="S116" s="5">
        <v>106.2</v>
      </c>
      <c r="T116" s="5">
        <f>Q116+R116+S116</f>
        <v>290.9</v>
      </c>
      <c r="U116" s="5">
        <v>98.5</v>
      </c>
      <c r="V116" s="6">
        <v>42.5</v>
      </c>
      <c r="W116" s="5">
        <f>U116+V116</f>
        <v>141.0</v>
      </c>
      <c r="X116" s="5">
        <f>P116+T116+W116</f>
        <v>1356.6</v>
      </c>
      <c r="Y116" s="3" t="s">
        <v>50</v>
      </c>
      <c r="Z116" s="3" t="s">
        <v>1199</v>
      </c>
    </row>
    <row r="117" spans="8:8" ht="18.75" customHeight="1">
      <c r="A117" s="7" t="s">
        <v>916</v>
      </c>
      <c r="B117" s="8" t="s">
        <v>884</v>
      </c>
      <c r="C117" s="8" t="s">
        <v>917</v>
      </c>
      <c r="D117" s="8" t="s">
        <v>919</v>
      </c>
      <c r="E117" s="8" t="s">
        <v>920</v>
      </c>
      <c r="F117" s="11">
        <v>4.5</v>
      </c>
      <c r="G117" s="11">
        <v>6.2</v>
      </c>
      <c r="H117" s="11">
        <v>2.1</v>
      </c>
      <c r="I117" s="11">
        <f>G117-H117</f>
        <v>4.1</v>
      </c>
      <c r="J117" s="11">
        <v>4.15</v>
      </c>
      <c r="K117" s="10">
        <v>184.5</v>
      </c>
      <c r="L117" s="11">
        <v>40.6</v>
      </c>
      <c r="M117" s="10">
        <f>K117+L117</f>
        <v>225.1</v>
      </c>
      <c r="N117" s="10">
        <v>909.5</v>
      </c>
      <c r="O117" s="10">
        <v>60.8</v>
      </c>
      <c r="P117" s="10">
        <f>N117+O117</f>
        <v>970.3</v>
      </c>
      <c r="Q117" s="10">
        <v>120.8</v>
      </c>
      <c r="R117" s="10">
        <v>65.2</v>
      </c>
      <c r="S117" s="10">
        <v>101.3</v>
      </c>
      <c r="T117" s="10">
        <f>Q117+R117+S117</f>
        <v>287.3</v>
      </c>
      <c r="U117" s="10">
        <v>79.0</v>
      </c>
      <c r="V117" s="11">
        <v>40.5</v>
      </c>
      <c r="W117" s="10">
        <f>U117+V117</f>
        <v>119.5</v>
      </c>
      <c r="X117" s="10">
        <f>P117+T117+W117</f>
        <v>1377.1</v>
      </c>
      <c r="Y117" s="8" t="s">
        <v>50</v>
      </c>
      <c r="Z117" s="8" t="s">
        <v>1199</v>
      </c>
    </row>
    <row r="118" spans="8:8" ht="18.75" customHeight="1">
      <c r="A118" s="2" t="s">
        <v>921</v>
      </c>
      <c r="B118" s="3" t="s">
        <v>884</v>
      </c>
      <c r="C118" s="3" t="s">
        <v>922</v>
      </c>
      <c r="D118" s="3" t="s">
        <v>924</v>
      </c>
      <c r="E118" s="3" t="s">
        <v>925</v>
      </c>
      <c r="F118" s="6">
        <v>4.2</v>
      </c>
      <c r="G118" s="6">
        <v>7.5</v>
      </c>
      <c r="H118" s="6">
        <v>3.1</v>
      </c>
      <c r="I118" s="6">
        <f>G118-H118</f>
        <v>4.4</v>
      </c>
      <c r="J118" s="6">
        <v>5.3</v>
      </c>
      <c r="K118" s="5">
        <v>184.8</v>
      </c>
      <c r="L118" s="6">
        <v>40.7</v>
      </c>
      <c r="M118" s="5">
        <f>K118+L118</f>
        <v>225.5</v>
      </c>
      <c r="N118" s="5">
        <v>771.7</v>
      </c>
      <c r="O118" s="5">
        <v>60.9</v>
      </c>
      <c r="P118" s="5">
        <f>N118+O118</f>
        <v>832.6</v>
      </c>
      <c r="Q118" s="5">
        <v>90.2</v>
      </c>
      <c r="R118" s="5">
        <v>74.2</v>
      </c>
      <c r="S118" s="5">
        <v>101.5</v>
      </c>
      <c r="T118" s="5">
        <f>Q118+R118+S118</f>
        <v>265.9</v>
      </c>
      <c r="U118" s="5">
        <v>56.0</v>
      </c>
      <c r="V118" s="6">
        <v>40.6</v>
      </c>
      <c r="W118" s="5">
        <f>U118+V118</f>
        <v>96.6</v>
      </c>
      <c r="X118" s="5">
        <f>P118+T118+W118</f>
        <v>1195.1</v>
      </c>
      <c r="Y118" s="3" t="s">
        <v>50</v>
      </c>
      <c r="Z118" s="3" t="s">
        <v>1199</v>
      </c>
    </row>
    <row r="119" spans="8:8" ht="18.75" customHeight="1">
      <c r="A119" s="7" t="s">
        <v>926</v>
      </c>
      <c r="B119" s="8" t="s">
        <v>884</v>
      </c>
      <c r="C119" s="8" t="s">
        <v>927</v>
      </c>
      <c r="D119" s="8" t="s">
        <v>929</v>
      </c>
      <c r="E119" s="8" t="s">
        <v>930</v>
      </c>
      <c r="F119" s="11">
        <v>4.5</v>
      </c>
      <c r="G119" s="11">
        <v>7.4</v>
      </c>
      <c r="H119" s="11">
        <v>2.8</v>
      </c>
      <c r="I119" s="11">
        <f>G119-H119</f>
        <v>4.6000000000000005</v>
      </c>
      <c r="J119" s="11">
        <v>5.1</v>
      </c>
      <c r="K119" s="10">
        <v>207.0</v>
      </c>
      <c r="L119" s="11">
        <v>45.5</v>
      </c>
      <c r="M119" s="10">
        <f>K119+L119</f>
        <v>252.5</v>
      </c>
      <c r="N119" s="10">
        <v>828.0</v>
      </c>
      <c r="O119" s="10">
        <v>68.2</v>
      </c>
      <c r="P119" s="10">
        <f>N119+O119</f>
        <v>896.2</v>
      </c>
      <c r="Q119" s="10">
        <v>84.0</v>
      </c>
      <c r="R119" s="10">
        <v>72.0</v>
      </c>
      <c r="S119" s="10">
        <v>113.6</v>
      </c>
      <c r="T119" s="10">
        <f>Q119+R119+S119</f>
        <v>269.6</v>
      </c>
      <c r="U119" s="11">
        <v>49.0</v>
      </c>
      <c r="V119" s="11">
        <v>45.4</v>
      </c>
      <c r="W119" s="10">
        <f>U119+V119</f>
        <v>94.4</v>
      </c>
      <c r="X119" s="10">
        <f>P119+T119+W119</f>
        <v>1260.2</v>
      </c>
      <c r="Y119" s="8" t="s">
        <v>50</v>
      </c>
      <c r="Z119" s="8" t="s">
        <v>1199</v>
      </c>
    </row>
    <row r="120" spans="8:8" ht="18.75" customHeight="1">
      <c r="A120" s="2" t="s">
        <v>931</v>
      </c>
      <c r="B120" s="3" t="s">
        <v>884</v>
      </c>
      <c r="C120" s="3" t="s">
        <v>932</v>
      </c>
      <c r="D120" s="3" t="s">
        <v>934</v>
      </c>
      <c r="E120" s="3" t="s">
        <v>935</v>
      </c>
      <c r="F120" s="6">
        <v>4.5</v>
      </c>
      <c r="G120" s="6">
        <v>8.1</v>
      </c>
      <c r="H120" s="6">
        <v>3.3</v>
      </c>
      <c r="I120" s="6">
        <f>G120-H120</f>
        <v>4.8</v>
      </c>
      <c r="J120" s="6">
        <v>5.7</v>
      </c>
      <c r="K120" s="5">
        <v>216.0</v>
      </c>
      <c r="L120" s="6">
        <v>47.5</v>
      </c>
      <c r="M120" s="5">
        <f>K120+L120</f>
        <v>263.5</v>
      </c>
      <c r="N120" s="5">
        <v>751.7</v>
      </c>
      <c r="O120" s="5">
        <v>71.2</v>
      </c>
      <c r="P120" s="5">
        <f>N120+O120</f>
        <v>822.9000000000001</v>
      </c>
      <c r="Q120" s="5">
        <v>112.6</v>
      </c>
      <c r="R120" s="5">
        <v>63.0</v>
      </c>
      <c r="S120" s="5">
        <v>118.6</v>
      </c>
      <c r="T120" s="5">
        <f>Q120+R120+S120</f>
        <v>294.2</v>
      </c>
      <c r="U120" s="5">
        <v>76.4</v>
      </c>
      <c r="V120" s="6">
        <v>47.4</v>
      </c>
      <c r="W120" s="5">
        <f>U120+V120</f>
        <v>123.80000000000001</v>
      </c>
      <c r="X120" s="5">
        <f>P120+T120+W120</f>
        <v>1240.8999999999999</v>
      </c>
      <c r="Y120" s="3" t="s">
        <v>50</v>
      </c>
      <c r="Z120" s="3" t="s">
        <v>1199</v>
      </c>
    </row>
    <row r="121" spans="8:8" ht="18.75" customHeight="1">
      <c r="A121" s="7" t="s">
        <v>936</v>
      </c>
      <c r="B121" s="8" t="s">
        <v>937</v>
      </c>
      <c r="C121" s="8" t="s">
        <v>938</v>
      </c>
      <c r="D121" s="8" t="s">
        <v>941</v>
      </c>
      <c r="E121" s="8" t="s">
        <v>943</v>
      </c>
      <c r="F121" s="11">
        <v>12.0</v>
      </c>
      <c r="G121" s="11">
        <v>11.5</v>
      </c>
      <c r="H121" s="11">
        <v>6.8</v>
      </c>
      <c r="I121" s="11">
        <f>G121-H121</f>
        <v>4.7</v>
      </c>
      <c r="J121" s="11">
        <v>9.15</v>
      </c>
      <c r="K121" s="10">
        <v>564.0</v>
      </c>
      <c r="L121" s="10">
        <v>124.1</v>
      </c>
      <c r="M121" s="10">
        <f>K121+L121</f>
        <v>688.1</v>
      </c>
      <c r="N121" s="10">
        <v>553.0</v>
      </c>
      <c r="O121" s="10">
        <v>185.8</v>
      </c>
      <c r="P121" s="10">
        <f>N121+O121</f>
        <v>738.8</v>
      </c>
      <c r="Q121" s="10">
        <v>160.9</v>
      </c>
      <c r="R121" s="10">
        <v>65.2</v>
      </c>
      <c r="S121" s="10">
        <v>309.6</v>
      </c>
      <c r="T121" s="10">
        <f>Q121+R121+S121</f>
        <v>535.7</v>
      </c>
      <c r="U121" s="10">
        <v>71.1</v>
      </c>
      <c r="V121" s="10">
        <v>123.9</v>
      </c>
      <c r="W121" s="10">
        <f>U121+V121</f>
        <v>195.0</v>
      </c>
      <c r="X121" s="10">
        <f>P121+T121+W121</f>
        <v>1469.5</v>
      </c>
      <c r="Y121" s="8" t="s">
        <v>50</v>
      </c>
      <c r="Z121" s="8" t="s">
        <v>1199</v>
      </c>
    </row>
    <row r="122" spans="8:8" ht="18.75" customHeight="1">
      <c r="A122" s="2" t="s">
        <v>944</v>
      </c>
      <c r="B122" s="3" t="s">
        <v>937</v>
      </c>
      <c r="C122" s="3" t="s">
        <v>945</v>
      </c>
      <c r="D122" s="3" t="s">
        <v>947</v>
      </c>
      <c r="E122" s="3" t="s">
        <v>949</v>
      </c>
      <c r="F122" s="6">
        <v>3.5</v>
      </c>
      <c r="G122" s="6">
        <v>9.2</v>
      </c>
      <c r="H122" s="6">
        <v>5.1</v>
      </c>
      <c r="I122" s="6">
        <f>G122-H122</f>
        <v>4.1</v>
      </c>
      <c r="J122" s="6">
        <v>7.15</v>
      </c>
      <c r="K122" s="5">
        <v>143.5</v>
      </c>
      <c r="L122" s="6">
        <v>31.6</v>
      </c>
      <c r="M122" s="5">
        <f>K122+L122</f>
        <v>175.1</v>
      </c>
      <c r="N122" s="5">
        <v>502.8</v>
      </c>
      <c r="O122" s="6">
        <v>47.3</v>
      </c>
      <c r="P122" s="5">
        <f>N122+O122</f>
        <v>550.1</v>
      </c>
      <c r="Q122" s="5">
        <v>267.8</v>
      </c>
      <c r="R122" s="5">
        <v>63.0</v>
      </c>
      <c r="S122" s="5">
        <v>78.8</v>
      </c>
      <c r="T122" s="5">
        <f>Q122+R122+S122</f>
        <v>409.6</v>
      </c>
      <c r="U122" s="5">
        <v>124.9</v>
      </c>
      <c r="V122" s="6">
        <v>31.5</v>
      </c>
      <c r="W122" s="5">
        <f>U122+V122</f>
        <v>156.4</v>
      </c>
      <c r="X122" s="5">
        <f>P122+T122+W122</f>
        <v>1116.1000000000001</v>
      </c>
      <c r="Y122" s="3" t="s">
        <v>50</v>
      </c>
      <c r="Z122" s="3" t="s">
        <v>1199</v>
      </c>
    </row>
    <row r="123" spans="8:8" ht="18.75" customHeight="1">
      <c r="A123" s="7" t="s">
        <v>953</v>
      </c>
      <c r="B123" s="8" t="s">
        <v>937</v>
      </c>
      <c r="C123" s="8" t="s">
        <v>954</v>
      </c>
      <c r="D123" s="8" t="s">
        <v>956</v>
      </c>
      <c r="E123" s="8" t="s">
        <v>960</v>
      </c>
      <c r="F123" s="11">
        <v>11.0</v>
      </c>
      <c r="G123" s="11">
        <v>6.4</v>
      </c>
      <c r="H123" s="11">
        <v>3.2</v>
      </c>
      <c r="I123" s="11">
        <f>G123-H123</f>
        <v>3.2</v>
      </c>
      <c r="J123" s="11">
        <v>4.8</v>
      </c>
      <c r="K123" s="10">
        <v>352.0</v>
      </c>
      <c r="L123" s="10">
        <v>77.4</v>
      </c>
      <c r="M123" s="10">
        <f>K123+L123</f>
        <v>429.4</v>
      </c>
      <c r="N123" s="10">
        <v>140.2</v>
      </c>
      <c r="O123" s="10">
        <v>115.9</v>
      </c>
      <c r="P123" s="10">
        <f>N123+O123</f>
        <v>256.1</v>
      </c>
      <c r="Q123" s="10">
        <v>226.5</v>
      </c>
      <c r="R123" s="11">
        <v>35.0</v>
      </c>
      <c r="S123" s="10">
        <v>193.2</v>
      </c>
      <c r="T123" s="10">
        <f>Q123+R123+S123</f>
        <v>454.7</v>
      </c>
      <c r="U123" s="10">
        <v>159.9</v>
      </c>
      <c r="V123" s="10">
        <v>77.3</v>
      </c>
      <c r="W123" s="10">
        <f>U123+V123</f>
        <v>237.2</v>
      </c>
      <c r="X123" s="10">
        <f>P123+T123+W123</f>
        <v>948.0</v>
      </c>
      <c r="Y123" s="8" t="s">
        <v>50</v>
      </c>
      <c r="Z123" s="8" t="s">
        <v>1199</v>
      </c>
    </row>
    <row r="124" spans="8:8" ht="18.75" customHeight="1">
      <c r="A124" s="2" t="s">
        <v>961</v>
      </c>
      <c r="B124" s="3" t="s">
        <v>962</v>
      </c>
      <c r="C124" s="3" t="s">
        <v>963</v>
      </c>
      <c r="D124" s="3" t="s">
        <v>965</v>
      </c>
      <c r="E124" s="3" t="s">
        <v>969</v>
      </c>
      <c r="F124" s="6">
        <v>6.0</v>
      </c>
      <c r="G124" s="6">
        <v>8.5</v>
      </c>
      <c r="H124" s="6">
        <v>5.8</v>
      </c>
      <c r="I124" s="6">
        <f>G124-H124</f>
        <v>2.7</v>
      </c>
      <c r="J124" s="6">
        <v>7.15</v>
      </c>
      <c r="K124" s="5">
        <v>162.0</v>
      </c>
      <c r="L124" s="6">
        <v>35.6</v>
      </c>
      <c r="M124" s="5">
        <f>K124+L124</f>
        <v>197.6</v>
      </c>
      <c r="N124" s="6">
        <v>27.2</v>
      </c>
      <c r="O124" s="5">
        <v>53.3</v>
      </c>
      <c r="P124" s="5">
        <f>N124+O124</f>
        <v>80.5</v>
      </c>
      <c r="Q124" s="6">
        <v>38.5</v>
      </c>
      <c r="R124" s="6">
        <v>12.0</v>
      </c>
      <c r="S124" s="5">
        <v>88.9</v>
      </c>
      <c r="T124" s="5">
        <f>Q124+R124+S124</f>
        <v>139.4</v>
      </c>
      <c r="U124" s="6">
        <v>16.0</v>
      </c>
      <c r="V124" s="6">
        <v>35.6</v>
      </c>
      <c r="W124" s="5">
        <f>U124+V124</f>
        <v>51.6</v>
      </c>
      <c r="X124" s="5">
        <f>P124+T124+W124</f>
        <v>271.5</v>
      </c>
      <c r="Y124" s="3" t="s">
        <v>50</v>
      </c>
      <c r="Z124" s="3" t="s">
        <v>1199</v>
      </c>
    </row>
    <row r="125" spans="8:8" ht="18.75" customHeight="1">
      <c r="A125" s="7" t="s">
        <v>973</v>
      </c>
      <c r="B125" s="8" t="s">
        <v>974</v>
      </c>
      <c r="C125" s="8" t="s">
        <v>975</v>
      </c>
      <c r="D125" s="8" t="s">
        <v>977</v>
      </c>
      <c r="E125" s="8" t="s">
        <v>978</v>
      </c>
      <c r="F125" s="11">
        <v>11.0</v>
      </c>
      <c r="G125" s="11">
        <v>12.2</v>
      </c>
      <c r="H125" s="11">
        <v>7.5</v>
      </c>
      <c r="I125" s="11">
        <f>G125-H125</f>
        <v>4.699999999999999</v>
      </c>
      <c r="J125" s="11">
        <v>9.85</v>
      </c>
      <c r="K125" s="10">
        <v>517.0</v>
      </c>
      <c r="L125" s="10">
        <v>113.7</v>
      </c>
      <c r="M125" s="10">
        <f>K125+L125</f>
        <v>630.7</v>
      </c>
      <c r="N125" s="10">
        <v>609.4</v>
      </c>
      <c r="O125" s="10">
        <v>170.3</v>
      </c>
      <c r="P125" s="10">
        <f>N125+O125</f>
        <v>779.7</v>
      </c>
      <c r="Q125" s="10">
        <v>141.5</v>
      </c>
      <c r="R125" s="10">
        <v>63.0</v>
      </c>
      <c r="S125" s="10">
        <v>283.8</v>
      </c>
      <c r="T125" s="10">
        <f>Q125+R125+S125</f>
        <v>488.3</v>
      </c>
      <c r="U125" s="10">
        <v>66.0</v>
      </c>
      <c r="V125" s="10">
        <v>113.5</v>
      </c>
      <c r="W125" s="10">
        <f>U125+V125</f>
        <v>179.5</v>
      </c>
      <c r="X125" s="10">
        <f>P125+T125+W125</f>
        <v>1447.5</v>
      </c>
      <c r="Y125" s="8" t="s">
        <v>50</v>
      </c>
      <c r="Z125" s="8" t="s">
        <v>1199</v>
      </c>
    </row>
    <row r="126" spans="8:8" ht="18.75" customHeight="1">
      <c r="A126" s="2" t="s">
        <v>979</v>
      </c>
      <c r="B126" s="3" t="s">
        <v>974</v>
      </c>
      <c r="C126" s="3" t="s">
        <v>980</v>
      </c>
      <c r="D126" s="3" t="s">
        <v>982</v>
      </c>
      <c r="E126" s="3" t="s">
        <v>985</v>
      </c>
      <c r="F126" s="6">
        <v>6.0</v>
      </c>
      <c r="G126" s="6">
        <v>7.8</v>
      </c>
      <c r="H126" s="6">
        <v>3.9</v>
      </c>
      <c r="I126" s="6">
        <f>G126-H126</f>
        <v>3.9</v>
      </c>
      <c r="J126" s="6">
        <v>5.85</v>
      </c>
      <c r="K126" s="5">
        <v>234.0</v>
      </c>
      <c r="L126" s="5">
        <v>51.5</v>
      </c>
      <c r="M126" s="5">
        <f>K126+L126</f>
        <v>285.5</v>
      </c>
      <c r="N126" s="5">
        <v>816.0</v>
      </c>
      <c r="O126" s="5">
        <v>77.1</v>
      </c>
      <c r="P126" s="5">
        <f>N126+O126</f>
        <v>893.1</v>
      </c>
      <c r="Q126" s="5">
        <v>225.0</v>
      </c>
      <c r="R126" s="5">
        <v>72.0</v>
      </c>
      <c r="S126" s="5">
        <v>128.4</v>
      </c>
      <c r="T126" s="5">
        <f>Q126+R126+S126</f>
        <v>425.4</v>
      </c>
      <c r="U126" s="5">
        <v>116.6</v>
      </c>
      <c r="V126" s="5">
        <v>51.4</v>
      </c>
      <c r="W126" s="5">
        <f>U126+V126</f>
        <v>168.0</v>
      </c>
      <c r="X126" s="5">
        <f>P126+T126+W126</f>
        <v>1486.5</v>
      </c>
      <c r="Y126" s="3" t="s">
        <v>50</v>
      </c>
      <c r="Z126" s="3" t="s">
        <v>1199</v>
      </c>
    </row>
    <row r="127" spans="8:8" ht="18.75" customHeight="1">
      <c r="A127" s="7" t="s">
        <v>986</v>
      </c>
      <c r="B127" s="8" t="s">
        <v>974</v>
      </c>
      <c r="C127" s="8" t="s">
        <v>987</v>
      </c>
      <c r="D127" s="8" t="s">
        <v>989</v>
      </c>
      <c r="E127" s="8" t="s">
        <v>992</v>
      </c>
      <c r="F127" s="11">
        <v>3.5</v>
      </c>
      <c r="G127" s="11">
        <v>6.5</v>
      </c>
      <c r="H127" s="11">
        <v>3.2</v>
      </c>
      <c r="I127" s="11">
        <f>G127-H127</f>
        <v>3.3</v>
      </c>
      <c r="J127" s="11">
        <v>4.85</v>
      </c>
      <c r="K127" s="10">
        <v>115.5</v>
      </c>
      <c r="L127" s="11">
        <v>25.4</v>
      </c>
      <c r="M127" s="10">
        <f>K127+L127</f>
        <v>140.9</v>
      </c>
      <c r="N127" s="10">
        <v>525.0</v>
      </c>
      <c r="O127" s="11">
        <v>38.0</v>
      </c>
      <c r="P127" s="10">
        <f>N127+O127</f>
        <v>563.0</v>
      </c>
      <c r="Q127" s="10">
        <v>250.9</v>
      </c>
      <c r="R127" s="10">
        <v>74.2</v>
      </c>
      <c r="S127" s="10">
        <v>63.4</v>
      </c>
      <c r="T127" s="10">
        <f>Q127+R127+S127</f>
        <v>388.5</v>
      </c>
      <c r="U127" s="10">
        <v>126.1</v>
      </c>
      <c r="V127" s="11">
        <v>25.4</v>
      </c>
      <c r="W127" s="10">
        <f>U127+V127</f>
        <v>151.5</v>
      </c>
      <c r="X127" s="10">
        <f>P127+T127+W127</f>
        <v>1103.0</v>
      </c>
      <c r="Y127" s="8" t="s">
        <v>50</v>
      </c>
      <c r="Z127" s="8" t="s">
        <v>1199</v>
      </c>
    </row>
    <row r="128" spans="8:8" ht="18.75" customHeight="1">
      <c r="A128" s="2" t="s">
        <v>993</v>
      </c>
      <c r="B128" s="3" t="s">
        <v>974</v>
      </c>
      <c r="C128" s="3" t="s">
        <v>994</v>
      </c>
      <c r="D128" s="3" t="s">
        <v>996</v>
      </c>
      <c r="E128" s="3" t="s">
        <v>998</v>
      </c>
      <c r="F128" s="6">
        <v>5.0</v>
      </c>
      <c r="G128" s="6">
        <v>7.2</v>
      </c>
      <c r="H128" s="6">
        <v>4.5</v>
      </c>
      <c r="I128" s="6">
        <f>G128-H128</f>
        <v>2.7</v>
      </c>
      <c r="J128" s="6">
        <v>5.85</v>
      </c>
      <c r="K128" s="5">
        <v>135.0</v>
      </c>
      <c r="L128" s="6">
        <v>29.7</v>
      </c>
      <c r="M128" s="5">
        <f>K128+L128</f>
        <v>164.7</v>
      </c>
      <c r="N128" s="5">
        <v>54.7</v>
      </c>
      <c r="O128" s="6">
        <v>44.5</v>
      </c>
      <c r="P128" s="5">
        <f>N128+O128</f>
        <v>99.2</v>
      </c>
      <c r="Q128" s="5">
        <v>107.8</v>
      </c>
      <c r="R128" s="6">
        <v>16.0</v>
      </c>
      <c r="S128" s="5">
        <v>74.1</v>
      </c>
      <c r="T128" s="5">
        <f>Q128+R128+S128</f>
        <v>197.89999999999998</v>
      </c>
      <c r="U128" s="6">
        <v>44.2</v>
      </c>
      <c r="V128" s="6">
        <v>29.6</v>
      </c>
      <c r="W128" s="5">
        <f>U128+V128</f>
        <v>73.80000000000001</v>
      </c>
      <c r="X128" s="5">
        <f>P128+T128+W128</f>
        <v>370.90000000000003</v>
      </c>
      <c r="Y128" s="3" t="s">
        <v>50</v>
      </c>
      <c r="Z128" s="3" t="s">
        <v>1199</v>
      </c>
    </row>
    <row r="129" spans="8:8" ht="18.75" customHeight="1">
      <c r="A129" s="7" t="s">
        <v>999</v>
      </c>
      <c r="B129" s="8" t="s">
        <v>1000</v>
      </c>
      <c r="C129" s="8" t="s">
        <v>1001</v>
      </c>
      <c r="D129" s="8" t="s">
        <v>1003</v>
      </c>
      <c r="E129" s="8" t="s">
        <v>1004</v>
      </c>
      <c r="F129" s="11">
        <v>16.5</v>
      </c>
      <c r="G129" s="11">
        <v>8.4</v>
      </c>
      <c r="H129" s="11">
        <v>4.1</v>
      </c>
      <c r="I129" s="11">
        <f>G129-H129</f>
        <v>4.300000000000001</v>
      </c>
      <c r="J129" s="11">
        <v>6.25</v>
      </c>
      <c r="K129" s="10">
        <v>709.5</v>
      </c>
      <c r="L129" s="10">
        <v>156.1</v>
      </c>
      <c r="M129" s="10">
        <f>K129+L129</f>
        <v>865.6</v>
      </c>
      <c r="N129" s="10">
        <v>807.4</v>
      </c>
      <c r="O129" s="10">
        <v>233.7</v>
      </c>
      <c r="P129" s="10">
        <f>N129+O129</f>
        <v>1041.1</v>
      </c>
      <c r="Q129" s="10">
        <v>106.0</v>
      </c>
      <c r="R129" s="10">
        <v>83.2</v>
      </c>
      <c r="S129" s="10">
        <v>389.5</v>
      </c>
      <c r="T129" s="10">
        <f>Q129+R129+S129</f>
        <v>578.7</v>
      </c>
      <c r="U129" s="10">
        <v>59.4</v>
      </c>
      <c r="V129" s="10">
        <v>155.8</v>
      </c>
      <c r="W129" s="10">
        <f>U129+V129</f>
        <v>215.20000000000002</v>
      </c>
      <c r="X129" s="10">
        <f>P129+T129+W129</f>
        <v>1835.0</v>
      </c>
      <c r="Y129" s="8" t="s">
        <v>50</v>
      </c>
      <c r="Z129" s="8" t="s">
        <v>1199</v>
      </c>
    </row>
    <row r="130" spans="8:8" ht="18.75" customHeight="1">
      <c r="A130" s="2" t="s">
        <v>1005</v>
      </c>
      <c r="B130" s="3" t="s">
        <v>1000</v>
      </c>
      <c r="C130" s="3" t="s">
        <v>1006</v>
      </c>
      <c r="D130" s="3" t="s">
        <v>1008</v>
      </c>
      <c r="E130" s="3" t="s">
        <v>1011</v>
      </c>
      <c r="F130" s="6">
        <v>4.0</v>
      </c>
      <c r="G130" s="6">
        <v>9.5</v>
      </c>
      <c r="H130" s="6">
        <v>4.8</v>
      </c>
      <c r="I130" s="6">
        <f>G130-H130</f>
        <v>4.7</v>
      </c>
      <c r="J130" s="6">
        <v>7.15</v>
      </c>
      <c r="K130" s="5">
        <v>188.0</v>
      </c>
      <c r="L130" s="6">
        <v>41.4</v>
      </c>
      <c r="M130" s="5">
        <f>K130+L130</f>
        <v>229.4</v>
      </c>
      <c r="N130" s="5">
        <v>807.0</v>
      </c>
      <c r="O130" s="5">
        <v>61.9</v>
      </c>
      <c r="P130" s="5">
        <f>N130+O130</f>
        <v>868.9</v>
      </c>
      <c r="Q130" s="5">
        <v>171.2</v>
      </c>
      <c r="R130" s="5">
        <v>65.2</v>
      </c>
      <c r="S130" s="5">
        <v>103.2</v>
      </c>
      <c r="T130" s="5">
        <f>Q130+R130+S130</f>
        <v>339.6</v>
      </c>
      <c r="U130" s="5">
        <v>74.5</v>
      </c>
      <c r="V130" s="6">
        <v>41.3</v>
      </c>
      <c r="W130" s="5">
        <f>U130+V130</f>
        <v>115.8</v>
      </c>
      <c r="X130" s="5">
        <f>P130+T130+W130</f>
        <v>1324.3</v>
      </c>
      <c r="Y130" s="3" t="s">
        <v>50</v>
      </c>
      <c r="Z130" s="3" t="s">
        <v>1199</v>
      </c>
    </row>
    <row r="131" spans="8:8" ht="18.75" customHeight="1">
      <c r="A131" s="7" t="s">
        <v>1012</v>
      </c>
      <c r="B131" s="8" t="s">
        <v>1000</v>
      </c>
      <c r="C131" s="8" t="s">
        <v>1013</v>
      </c>
      <c r="D131" s="8" t="s">
        <v>1015</v>
      </c>
      <c r="E131" s="8" t="s">
        <v>1018</v>
      </c>
      <c r="F131" s="11">
        <v>3.5</v>
      </c>
      <c r="G131" s="11">
        <v>6.8</v>
      </c>
      <c r="H131" s="11">
        <v>3.1</v>
      </c>
      <c r="I131" s="11">
        <f>G131-H131</f>
        <v>3.6999999999999997</v>
      </c>
      <c r="J131" s="11">
        <v>4.95</v>
      </c>
      <c r="K131" s="10">
        <v>129.5</v>
      </c>
      <c r="L131" s="11">
        <v>28.5</v>
      </c>
      <c r="M131" s="10">
        <f>K131+L131</f>
        <v>158.0</v>
      </c>
      <c r="N131" s="10">
        <v>802.5</v>
      </c>
      <c r="O131" s="11">
        <v>42.7</v>
      </c>
      <c r="P131" s="10">
        <f>N131+O131</f>
        <v>845.2</v>
      </c>
      <c r="Q131" s="10">
        <v>221.3</v>
      </c>
      <c r="R131" s="10">
        <v>63.0</v>
      </c>
      <c r="S131" s="10">
        <v>71.1</v>
      </c>
      <c r="T131" s="10">
        <f>Q131+R131+S131</f>
        <v>355.4</v>
      </c>
      <c r="U131" s="10">
        <v>114.7</v>
      </c>
      <c r="V131" s="11">
        <v>28.4</v>
      </c>
      <c r="W131" s="10">
        <f>U131+V131</f>
        <v>143.1</v>
      </c>
      <c r="X131" s="10">
        <f>P131+T131+W131</f>
        <v>1343.6999999999998</v>
      </c>
      <c r="Y131" s="8" t="s">
        <v>50</v>
      </c>
      <c r="Z131" s="8" t="s">
        <v>1199</v>
      </c>
    </row>
    <row r="132" spans="8:8" ht="18.75" customHeight="1">
      <c r="A132" s="2" t="s">
        <v>1019</v>
      </c>
      <c r="B132" s="3" t="s">
        <v>1020</v>
      </c>
      <c r="C132" s="3" t="s">
        <v>1021</v>
      </c>
      <c r="D132" s="3" t="s">
        <v>1024</v>
      </c>
      <c r="E132" s="3" t="s">
        <v>1027</v>
      </c>
      <c r="F132" s="6">
        <v>18.0</v>
      </c>
      <c r="G132" s="6">
        <v>3.8</v>
      </c>
      <c r="H132" s="6">
        <v>1.5</v>
      </c>
      <c r="I132" s="6">
        <f>G132-H132</f>
        <v>2.3</v>
      </c>
      <c r="J132" s="6">
        <v>2.65</v>
      </c>
      <c r="K132" s="5">
        <v>414.0</v>
      </c>
      <c r="L132" s="5">
        <v>91.1</v>
      </c>
      <c r="M132" s="5">
        <f>K132+L132</f>
        <v>505.1</v>
      </c>
      <c r="N132" s="5">
        <v>1051.3</v>
      </c>
      <c r="O132" s="5">
        <v>136.4</v>
      </c>
      <c r="P132" s="5">
        <f>N132+O132</f>
        <v>1187.7</v>
      </c>
      <c r="Q132" s="5">
        <v>132.5</v>
      </c>
      <c r="R132" s="5">
        <v>78.8</v>
      </c>
      <c r="S132" s="5">
        <v>227.3</v>
      </c>
      <c r="T132" s="5">
        <f>Q132+R132+S132</f>
        <v>438.6</v>
      </c>
      <c r="U132" s="5">
        <v>340.1</v>
      </c>
      <c r="V132" s="5">
        <v>90.9</v>
      </c>
      <c r="W132" s="5">
        <f>U132+V132</f>
        <v>431.0</v>
      </c>
      <c r="X132" s="5">
        <f>P132+T132+W132</f>
        <v>2057.3</v>
      </c>
      <c r="Y132" s="3" t="s">
        <v>50</v>
      </c>
      <c r="Z132" s="3" t="s">
        <v>1199</v>
      </c>
    </row>
    <row r="133" spans="8:8" ht="18.75" customHeight="1">
      <c r="A133" s="7" t="s">
        <v>1028</v>
      </c>
      <c r="B133" s="8" t="s">
        <v>1020</v>
      </c>
      <c r="C133" s="8" t="s">
        <v>1029</v>
      </c>
      <c r="D133" s="8" t="s">
        <v>1031</v>
      </c>
      <c r="E133" s="8" t="s">
        <v>1034</v>
      </c>
      <c r="F133" s="11">
        <v>16.0</v>
      </c>
      <c r="G133" s="11">
        <v>4.2</v>
      </c>
      <c r="H133" s="11">
        <v>1.7</v>
      </c>
      <c r="I133" s="11">
        <f>G133-H133</f>
        <v>2.5</v>
      </c>
      <c r="J133" s="11">
        <v>2.95</v>
      </c>
      <c r="K133" s="10">
        <v>400.0</v>
      </c>
      <c r="L133" s="10">
        <v>88.0</v>
      </c>
      <c r="M133" s="10">
        <f>K133+L133</f>
        <v>488.0</v>
      </c>
      <c r="N133" s="10">
        <v>1104.7</v>
      </c>
      <c r="O133" s="10">
        <v>131.8</v>
      </c>
      <c r="P133" s="10">
        <f>N133+O133</f>
        <v>1236.5</v>
      </c>
      <c r="Q133" s="10">
        <v>179.2</v>
      </c>
      <c r="R133" s="10">
        <v>83.2</v>
      </c>
      <c r="S133" s="10">
        <v>219.6</v>
      </c>
      <c r="T133" s="10">
        <f>Q133+R133+S133</f>
        <v>482.0</v>
      </c>
      <c r="U133" s="10">
        <v>367.9</v>
      </c>
      <c r="V133" s="10">
        <v>87.8</v>
      </c>
      <c r="W133" s="10">
        <f>U133+V133</f>
        <v>455.7</v>
      </c>
      <c r="X133" s="10">
        <f>P133+T133+W133</f>
        <v>2174.2</v>
      </c>
      <c r="Y133" s="8" t="s">
        <v>50</v>
      </c>
      <c r="Z133" s="8" t="s">
        <v>1199</v>
      </c>
    </row>
    <row r="134" spans="8:8" ht="18.75" customHeight="1">
      <c r="A134" s="2" t="s">
        <v>1035</v>
      </c>
      <c r="B134" s="3" t="s">
        <v>1020</v>
      </c>
      <c r="C134" s="3" t="s">
        <v>1036</v>
      </c>
      <c r="D134" s="3" t="s">
        <v>1038</v>
      </c>
      <c r="E134" s="3" t="s">
        <v>1041</v>
      </c>
      <c r="F134" s="6">
        <v>15.0</v>
      </c>
      <c r="G134" s="6">
        <v>4.9</v>
      </c>
      <c r="H134" s="6">
        <v>2.1</v>
      </c>
      <c r="I134" s="6">
        <f>G134-H134</f>
        <v>2.8000000000000003</v>
      </c>
      <c r="J134" s="6">
        <v>3.5</v>
      </c>
      <c r="K134" s="5">
        <v>420.0</v>
      </c>
      <c r="L134" s="5">
        <v>92.4</v>
      </c>
      <c r="M134" s="5">
        <f>K134+L134</f>
        <v>512.4</v>
      </c>
      <c r="N134" s="5">
        <v>808.4</v>
      </c>
      <c r="O134" s="5">
        <v>138.4</v>
      </c>
      <c r="P134" s="5">
        <f>N134+O134</f>
        <v>946.8</v>
      </c>
      <c r="Q134" s="5">
        <v>113.0</v>
      </c>
      <c r="R134" s="5">
        <v>78.8</v>
      </c>
      <c r="S134" s="5">
        <v>230.6</v>
      </c>
      <c r="T134" s="5">
        <f>Q134+R134+S134</f>
        <v>422.4</v>
      </c>
      <c r="U134" s="5">
        <v>234.4</v>
      </c>
      <c r="V134" s="5">
        <v>92.2</v>
      </c>
      <c r="W134" s="5">
        <f>U134+V134</f>
        <v>326.6</v>
      </c>
      <c r="X134" s="5">
        <f>P134+T134+W134</f>
        <v>1695.8000000000002</v>
      </c>
      <c r="Y134" s="3" t="s">
        <v>50</v>
      </c>
      <c r="Z134" s="3" t="s">
        <v>1199</v>
      </c>
    </row>
    <row r="135" spans="8:8" ht="18.75" customHeight="1">
      <c r="A135" s="7" t="s">
        <v>1042</v>
      </c>
      <c r="B135" s="8" t="s">
        <v>1020</v>
      </c>
      <c r="C135" s="8" t="s">
        <v>1043</v>
      </c>
      <c r="D135" s="8" t="s">
        <v>1045</v>
      </c>
      <c r="E135" s="8" t="s">
        <v>1046</v>
      </c>
      <c r="F135" s="11">
        <v>17.5</v>
      </c>
      <c r="G135" s="11">
        <v>4.1</v>
      </c>
      <c r="H135" s="11">
        <v>1.6</v>
      </c>
      <c r="I135" s="11">
        <f>G135-H135</f>
        <v>2.4999999999999996</v>
      </c>
      <c r="J135" s="11">
        <v>2.85</v>
      </c>
      <c r="K135" s="10">
        <v>437.5</v>
      </c>
      <c r="L135" s="10">
        <v>96.2</v>
      </c>
      <c r="M135" s="10">
        <f>K135+L135</f>
        <v>533.7</v>
      </c>
      <c r="N135" s="10">
        <v>1025.4</v>
      </c>
      <c r="O135" s="10">
        <v>144.1</v>
      </c>
      <c r="P135" s="10">
        <f>N135+O135</f>
        <v>1169.5</v>
      </c>
      <c r="Q135" s="10">
        <v>129.3</v>
      </c>
      <c r="R135" s="10">
        <v>78.8</v>
      </c>
      <c r="S135" s="10">
        <v>240.2</v>
      </c>
      <c r="T135" s="10">
        <f>Q135+R135+S135</f>
        <v>448.29999999999995</v>
      </c>
      <c r="U135" s="10">
        <v>331.7</v>
      </c>
      <c r="V135" s="10">
        <v>96.1</v>
      </c>
      <c r="W135" s="10">
        <f>U135+V135</f>
        <v>427.79999999999995</v>
      </c>
      <c r="X135" s="10">
        <f>P135+T135+W135</f>
        <v>2045.6</v>
      </c>
      <c r="Y135" s="8" t="s">
        <v>50</v>
      </c>
      <c r="Z135" s="8" t="s">
        <v>1199</v>
      </c>
    </row>
    <row r="136" spans="8:8" ht="18.75" customHeight="1">
      <c r="A136" s="2" t="s">
        <v>1047</v>
      </c>
      <c r="B136" s="3" t="s">
        <v>1020</v>
      </c>
      <c r="C136" s="3" t="s">
        <v>1048</v>
      </c>
      <c r="D136" s="3" t="s">
        <v>1050</v>
      </c>
      <c r="E136" s="3" t="s">
        <v>1052</v>
      </c>
      <c r="F136" s="6">
        <v>12.0</v>
      </c>
      <c r="G136" s="6">
        <v>3.9</v>
      </c>
      <c r="H136" s="6">
        <v>1.4</v>
      </c>
      <c r="I136" s="6">
        <f>G136-H136</f>
        <v>2.5</v>
      </c>
      <c r="J136" s="6">
        <v>2.65</v>
      </c>
      <c r="K136" s="5">
        <v>300.0</v>
      </c>
      <c r="L136" s="5">
        <v>66.0</v>
      </c>
      <c r="M136" s="5">
        <f>K136+L136</f>
        <v>366.0</v>
      </c>
      <c r="N136" s="5">
        <v>1272.3</v>
      </c>
      <c r="O136" s="5">
        <v>98.8</v>
      </c>
      <c r="P136" s="5">
        <f>N136+O136</f>
        <v>1371.1</v>
      </c>
      <c r="Q136" s="5">
        <v>212.6</v>
      </c>
      <c r="R136" s="5">
        <v>81.0</v>
      </c>
      <c r="S136" s="5">
        <v>164.7</v>
      </c>
      <c r="T136" s="5">
        <f>Q136+R136+S136</f>
        <v>458.3</v>
      </c>
      <c r="U136" s="5">
        <v>476.2</v>
      </c>
      <c r="V136" s="5">
        <v>65.9</v>
      </c>
      <c r="W136" s="5">
        <f>U136+V136</f>
        <v>542.1</v>
      </c>
      <c r="X136" s="5">
        <f>P136+T136+W136</f>
        <v>2371.5</v>
      </c>
      <c r="Y136" s="3" t="s">
        <v>50</v>
      </c>
      <c r="Z136" s="3" t="s">
        <v>1199</v>
      </c>
    </row>
    <row r="137" spans="8:8" ht="18.75" customHeight="1">
      <c r="A137" s="7" t="s">
        <v>1053</v>
      </c>
      <c r="B137" s="8" t="s">
        <v>1020</v>
      </c>
      <c r="C137" s="8" t="s">
        <v>1054</v>
      </c>
      <c r="D137" s="8" t="s">
        <v>1056</v>
      </c>
      <c r="E137" s="8" t="s">
        <v>1059</v>
      </c>
      <c r="F137" s="11">
        <v>4.5</v>
      </c>
      <c r="G137" s="11">
        <v>6.8</v>
      </c>
      <c r="H137" s="11">
        <v>2.8</v>
      </c>
      <c r="I137" s="11">
        <f>G137-H137</f>
        <v>4.0</v>
      </c>
      <c r="J137" s="11">
        <v>4.8</v>
      </c>
      <c r="K137" s="10">
        <v>180.0</v>
      </c>
      <c r="L137" s="11">
        <v>39.6</v>
      </c>
      <c r="M137" s="10">
        <f>K137+L137</f>
        <v>219.6</v>
      </c>
      <c r="N137" s="10">
        <v>762.8</v>
      </c>
      <c r="O137" s="10">
        <v>59.3</v>
      </c>
      <c r="P137" s="10">
        <f>N137+O137</f>
        <v>822.0999999999999</v>
      </c>
      <c r="Q137" s="10">
        <v>118.5</v>
      </c>
      <c r="R137" s="10">
        <v>65.2</v>
      </c>
      <c r="S137" s="10">
        <v>98.8</v>
      </c>
      <c r="T137" s="10">
        <f>Q137+R137+S137</f>
        <v>282.5</v>
      </c>
      <c r="U137" s="10">
        <v>210.1</v>
      </c>
      <c r="V137" s="11">
        <v>39.5</v>
      </c>
      <c r="W137" s="10">
        <f>U137+V137</f>
        <v>249.6</v>
      </c>
      <c r="X137" s="10">
        <f>P137+T137+W137</f>
        <v>1354.1999999999998</v>
      </c>
      <c r="Y137" s="8" t="s">
        <v>50</v>
      </c>
      <c r="Z137" s="8" t="s">
        <v>1199</v>
      </c>
    </row>
    <row r="138" spans="8:8" ht="18.75" customHeight="1">
      <c r="A138" s="2" t="s">
        <v>1060</v>
      </c>
      <c r="B138" s="3" t="s">
        <v>1061</v>
      </c>
      <c r="C138" s="3" t="s">
        <v>1062</v>
      </c>
      <c r="D138" s="3" t="s">
        <v>1064</v>
      </c>
      <c r="E138" s="3" t="s">
        <v>1065</v>
      </c>
      <c r="F138" s="6">
        <v>3.5</v>
      </c>
      <c r="G138" s="6">
        <v>5.5</v>
      </c>
      <c r="H138" s="6">
        <v>2.1</v>
      </c>
      <c r="I138" s="6">
        <f>G138-H138</f>
        <v>3.4</v>
      </c>
      <c r="J138" s="6">
        <v>3.8</v>
      </c>
      <c r="K138" s="5">
        <v>119.0</v>
      </c>
      <c r="L138" s="6">
        <v>26.2</v>
      </c>
      <c r="M138" s="5">
        <f>K138+L138</f>
        <v>145.2</v>
      </c>
      <c r="N138" s="5">
        <v>1388.6</v>
      </c>
      <c r="O138" s="6">
        <v>39.2</v>
      </c>
      <c r="P138" s="5">
        <f>N138+O138</f>
        <v>1427.8</v>
      </c>
      <c r="Q138" s="5">
        <v>207.0</v>
      </c>
      <c r="R138" s="5">
        <v>72.0</v>
      </c>
      <c r="S138" s="5">
        <v>65.3</v>
      </c>
      <c r="T138" s="5">
        <f>Q138+R138+S138</f>
        <v>344.3</v>
      </c>
      <c r="U138" s="5">
        <v>309.0</v>
      </c>
      <c r="V138" s="6">
        <v>26.1</v>
      </c>
      <c r="W138" s="5">
        <f>U138+V138</f>
        <v>335.1</v>
      </c>
      <c r="X138" s="5">
        <f>P138+T138+W138</f>
        <v>2107.2</v>
      </c>
      <c r="Y138" s="3" t="s">
        <v>50</v>
      </c>
      <c r="Z138" s="3" t="s">
        <v>1199</v>
      </c>
    </row>
    <row r="139" spans="8:8" ht="18.75" customHeight="1">
      <c r="A139" s="7" t="s">
        <v>1066</v>
      </c>
      <c r="B139" s="8" t="s">
        <v>1067</v>
      </c>
      <c r="C139" s="8" t="s">
        <v>1068</v>
      </c>
      <c r="D139" s="8" t="s">
        <v>1070</v>
      </c>
      <c r="E139" s="8" t="s">
        <v>1072</v>
      </c>
      <c r="F139" s="11">
        <v>8.0</v>
      </c>
      <c r="G139" s="11">
        <v>4.5</v>
      </c>
      <c r="H139" s="11">
        <v>1.8</v>
      </c>
      <c r="I139" s="11">
        <f>G139-H139</f>
        <v>2.7</v>
      </c>
      <c r="J139" s="11">
        <v>3.15</v>
      </c>
      <c r="K139" s="10">
        <v>216.0</v>
      </c>
      <c r="L139" s="11">
        <v>47.5</v>
      </c>
      <c r="M139" s="10">
        <f>K139+L139</f>
        <v>263.5</v>
      </c>
      <c r="N139" s="10">
        <v>1408.7</v>
      </c>
      <c r="O139" s="10">
        <v>71.2</v>
      </c>
      <c r="P139" s="10">
        <f>N139+O139</f>
        <v>1479.9</v>
      </c>
      <c r="Q139" s="10">
        <v>237.4</v>
      </c>
      <c r="R139" s="10">
        <v>74.2</v>
      </c>
      <c r="S139" s="10">
        <v>118.6</v>
      </c>
      <c r="T139" s="10">
        <f>Q139+R139+S139</f>
        <v>430.20000000000005</v>
      </c>
      <c r="U139" s="10">
        <v>342.4</v>
      </c>
      <c r="V139" s="11">
        <v>47.4</v>
      </c>
      <c r="W139" s="10">
        <f>U139+V139</f>
        <v>389.79999999999995</v>
      </c>
      <c r="X139" s="10">
        <f>P139+T139+W139</f>
        <v>2299.9</v>
      </c>
      <c r="Y139" s="8" t="s">
        <v>50</v>
      </c>
      <c r="Z139" s="8" t="s">
        <v>1199</v>
      </c>
    </row>
    <row r="140" spans="8:8" ht="18.75" customHeight="1">
      <c r="A140" s="2" t="s">
        <v>1073</v>
      </c>
      <c r="B140" s="3" t="s">
        <v>1074</v>
      </c>
      <c r="C140" s="3" t="s">
        <v>1075</v>
      </c>
      <c r="D140" s="3" t="s">
        <v>1077</v>
      </c>
      <c r="E140" s="3" t="s">
        <v>1079</v>
      </c>
      <c r="F140" s="6">
        <v>4.5</v>
      </c>
      <c r="G140" s="6">
        <v>5.2</v>
      </c>
      <c r="H140" s="6">
        <v>1.9</v>
      </c>
      <c r="I140" s="6">
        <f>G140-H140</f>
        <v>3.3000000000000003</v>
      </c>
      <c r="J140" s="6">
        <v>3.55</v>
      </c>
      <c r="K140" s="5">
        <v>148.5</v>
      </c>
      <c r="L140" s="6">
        <v>32.7</v>
      </c>
      <c r="M140" s="5">
        <f>K140+L140</f>
        <v>181.2</v>
      </c>
      <c r="N140" s="5">
        <v>1819.5</v>
      </c>
      <c r="O140" s="6">
        <v>48.9</v>
      </c>
      <c r="P140" s="5">
        <f>N140+O140</f>
        <v>1868.4</v>
      </c>
      <c r="Q140" s="5">
        <v>217.0</v>
      </c>
      <c r="R140" s="5">
        <v>69.8</v>
      </c>
      <c r="S140" s="5">
        <v>81.5</v>
      </c>
      <c r="T140" s="5">
        <f>Q140+R140+S140</f>
        <v>368.3</v>
      </c>
      <c r="U140" s="5">
        <v>455.6</v>
      </c>
      <c r="V140" s="6">
        <v>32.6</v>
      </c>
      <c r="W140" s="5">
        <f>U140+V140</f>
        <v>488.20000000000005</v>
      </c>
      <c r="X140" s="5">
        <f>P140+T140+W140</f>
        <v>2724.8999999999996</v>
      </c>
      <c r="Y140" s="3" t="s">
        <v>50</v>
      </c>
      <c r="Z140" s="3" t="s">
        <v>1199</v>
      </c>
    </row>
    <row r="141" spans="8:8" ht="18.75" customHeight="1">
      <c r="A141" s="7" t="s">
        <v>1080</v>
      </c>
      <c r="B141" s="8" t="s">
        <v>1081</v>
      </c>
      <c r="C141" s="8" t="s">
        <v>1082</v>
      </c>
      <c r="D141" s="8" t="s">
        <v>1085</v>
      </c>
      <c r="E141" s="8" t="s">
        <v>1087</v>
      </c>
      <c r="F141" s="11">
        <v>8.5</v>
      </c>
      <c r="G141" s="11">
        <v>4.8</v>
      </c>
      <c r="H141" s="11">
        <v>1.9</v>
      </c>
      <c r="I141" s="11">
        <f>G141-H141</f>
        <v>2.9</v>
      </c>
      <c r="J141" s="11">
        <v>3.35</v>
      </c>
      <c r="K141" s="10">
        <v>246.5</v>
      </c>
      <c r="L141" s="10">
        <v>54.2</v>
      </c>
      <c r="M141" s="10">
        <f>K141+L141</f>
        <v>300.7</v>
      </c>
      <c r="N141" s="10">
        <v>748.7</v>
      </c>
      <c r="O141" s="10">
        <v>81.2</v>
      </c>
      <c r="P141" s="10">
        <f>N141+O141</f>
        <v>829.9000000000001</v>
      </c>
      <c r="Q141" s="10">
        <v>160.2</v>
      </c>
      <c r="R141" s="10">
        <v>78.8</v>
      </c>
      <c r="S141" s="10">
        <v>135.3</v>
      </c>
      <c r="T141" s="10">
        <f>Q141+R141+S141</f>
        <v>374.3</v>
      </c>
      <c r="U141" s="10">
        <v>230.1</v>
      </c>
      <c r="V141" s="10">
        <v>54.1</v>
      </c>
      <c r="W141" s="10">
        <f>U141+V141</f>
        <v>284.2</v>
      </c>
      <c r="X141" s="10">
        <f>P141+T141+W141</f>
        <v>1488.4</v>
      </c>
      <c r="Y141" s="8" t="s">
        <v>50</v>
      </c>
      <c r="Z141" s="8" t="s">
        <v>1199</v>
      </c>
    </row>
    <row r="142" spans="8:8" ht="18.75" customHeight="1">
      <c r="A142" s="2" t="s">
        <v>1088</v>
      </c>
      <c r="B142" s="3" t="s">
        <v>1089</v>
      </c>
      <c r="C142" s="3" t="s">
        <v>1090</v>
      </c>
      <c r="D142" s="3" t="s">
        <v>1092</v>
      </c>
      <c r="E142" s="3" t="s">
        <v>1093</v>
      </c>
      <c r="F142" s="6">
        <v>5.5</v>
      </c>
      <c r="G142" s="6">
        <v>5.6</v>
      </c>
      <c r="H142" s="6">
        <v>2.2</v>
      </c>
      <c r="I142" s="6">
        <f>G142-H142</f>
        <v>3.3999999999999995</v>
      </c>
      <c r="J142" s="6">
        <v>3.9</v>
      </c>
      <c r="K142" s="5">
        <v>187.0</v>
      </c>
      <c r="L142" s="6">
        <v>41.1</v>
      </c>
      <c r="M142" s="5">
        <f>K142+L142</f>
        <v>228.1</v>
      </c>
      <c r="N142" s="5">
        <v>889.4</v>
      </c>
      <c r="O142" s="5">
        <v>61.6</v>
      </c>
      <c r="P142" s="5">
        <f>N142+O142</f>
        <v>951.0</v>
      </c>
      <c r="Q142" s="5">
        <v>154.2</v>
      </c>
      <c r="R142" s="5">
        <v>67.5</v>
      </c>
      <c r="S142" s="5">
        <v>102.7</v>
      </c>
      <c r="T142" s="5">
        <f>Q142+R142+S142</f>
        <v>324.4</v>
      </c>
      <c r="U142" s="5">
        <v>248.5</v>
      </c>
      <c r="V142" s="6">
        <v>41.1</v>
      </c>
      <c r="W142" s="5">
        <f>U142+V142</f>
        <v>289.6</v>
      </c>
      <c r="X142" s="5">
        <f>P142+T142+W142</f>
        <v>1565.0</v>
      </c>
      <c r="Y142" s="3" t="s">
        <v>50</v>
      </c>
      <c r="Z142" s="3" t="s">
        <v>1199</v>
      </c>
    </row>
    <row r="143" spans="8:8" ht="18.75" customHeight="1">
      <c r="A143" s="7" t="s">
        <v>1094</v>
      </c>
      <c r="B143" s="8" t="s">
        <v>1095</v>
      </c>
      <c r="C143" s="8" t="s">
        <v>1096</v>
      </c>
      <c r="D143" s="8" t="s">
        <v>1098</v>
      </c>
      <c r="E143" s="8" t="s">
        <v>1100</v>
      </c>
      <c r="F143" s="11">
        <v>4.0</v>
      </c>
      <c r="G143" s="11">
        <v>6.1</v>
      </c>
      <c r="H143" s="11">
        <v>2.4</v>
      </c>
      <c r="I143" s="11">
        <f>G143-H143</f>
        <v>3.6999999999999997</v>
      </c>
      <c r="J143" s="11">
        <v>4.25</v>
      </c>
      <c r="K143" s="10">
        <v>148.0</v>
      </c>
      <c r="L143" s="11">
        <v>32.6</v>
      </c>
      <c r="M143" s="10">
        <f>K143+L143</f>
        <v>180.6</v>
      </c>
      <c r="N143" s="10">
        <v>1156.6</v>
      </c>
      <c r="O143" s="11">
        <v>48.8</v>
      </c>
      <c r="P143" s="10">
        <f>N143+O143</f>
        <v>1205.3999999999999</v>
      </c>
      <c r="Q143" s="10">
        <v>221.9</v>
      </c>
      <c r="R143" s="10">
        <v>65.2</v>
      </c>
      <c r="S143" s="10">
        <v>81.2</v>
      </c>
      <c r="T143" s="10">
        <f>Q143+R143+S143</f>
        <v>368.3</v>
      </c>
      <c r="U143" s="10">
        <v>327.9</v>
      </c>
      <c r="V143" s="11">
        <v>32.5</v>
      </c>
      <c r="W143" s="10">
        <f>U143+V143</f>
        <v>360.4</v>
      </c>
      <c r="X143" s="10">
        <f>P143+T143+W143</f>
        <v>1934.1</v>
      </c>
      <c r="Y143" s="8" t="s">
        <v>50</v>
      </c>
      <c r="Z143" s="8" t="s">
        <v>1199</v>
      </c>
    </row>
    <row r="144" spans="8:8" ht="18.75" customHeight="1">
      <c r="A144" s="2" t="s">
        <v>1104</v>
      </c>
      <c r="B144" s="3" t="s">
        <v>1105</v>
      </c>
      <c r="C144" s="3" t="s">
        <v>1106</v>
      </c>
      <c r="D144" s="3" t="s">
        <v>1108</v>
      </c>
      <c r="E144" s="3" t="s">
        <v>1110</v>
      </c>
      <c r="F144" s="6">
        <v>11.0</v>
      </c>
      <c r="G144" s="6">
        <v>4.6</v>
      </c>
      <c r="H144" s="6">
        <v>1.8</v>
      </c>
      <c r="I144" s="6">
        <f>G144-H144</f>
        <v>2.8</v>
      </c>
      <c r="J144" s="6">
        <v>3.2</v>
      </c>
      <c r="K144" s="5">
        <v>308.0</v>
      </c>
      <c r="L144" s="5">
        <v>67.8</v>
      </c>
      <c r="M144" s="5">
        <f>K144+L144</f>
        <v>375.8</v>
      </c>
      <c r="N144" s="5">
        <v>1024.8</v>
      </c>
      <c r="O144" s="5">
        <v>101.5</v>
      </c>
      <c r="P144" s="5">
        <f>N144+O144</f>
        <v>1126.3</v>
      </c>
      <c r="Q144" s="5">
        <v>191.3</v>
      </c>
      <c r="R144" s="5">
        <v>72.0</v>
      </c>
      <c r="S144" s="5">
        <v>169.1</v>
      </c>
      <c r="T144" s="5">
        <f>Q144+R144+S144</f>
        <v>432.4</v>
      </c>
      <c r="U144" s="5">
        <v>389.5</v>
      </c>
      <c r="V144" s="5">
        <v>67.6</v>
      </c>
      <c r="W144" s="5">
        <f>U144+V144</f>
        <v>457.1</v>
      </c>
      <c r="X144" s="5">
        <f>P144+T144+W144</f>
        <v>2015.8000000000002</v>
      </c>
      <c r="Y144" s="3" t="s">
        <v>50</v>
      </c>
      <c r="Z144" s="3" t="s">
        <v>1199</v>
      </c>
    </row>
    <row r="145" spans="8:8" ht="18.75" customHeight="1">
      <c r="A145" s="7" t="s">
        <v>1111</v>
      </c>
      <c r="B145" s="8" t="s">
        <v>1112</v>
      </c>
      <c r="C145" s="8" t="s">
        <v>1113</v>
      </c>
      <c r="D145" s="8" t="s">
        <v>1115</v>
      </c>
      <c r="E145" s="8" t="s">
        <v>347</v>
      </c>
      <c r="F145" s="11">
        <v>6.5</v>
      </c>
      <c r="G145" s="11">
        <v>6.5</v>
      </c>
      <c r="H145" s="11">
        <v>2.2</v>
      </c>
      <c r="I145" s="11">
        <f>G145-H145</f>
        <v>4.3</v>
      </c>
      <c r="J145" s="11">
        <v>4.35</v>
      </c>
      <c r="K145" s="10">
        <v>279.5</v>
      </c>
      <c r="L145" s="10">
        <v>61.5</v>
      </c>
      <c r="M145" s="10">
        <f>K145+L145</f>
        <v>341.0</v>
      </c>
      <c r="N145" s="10">
        <v>1911.5</v>
      </c>
      <c r="O145" s="10">
        <v>92.1</v>
      </c>
      <c r="P145" s="10">
        <f>N145+O145</f>
        <v>2003.6</v>
      </c>
      <c r="Q145" s="10">
        <v>126.1</v>
      </c>
      <c r="R145" s="10">
        <v>67.5</v>
      </c>
      <c r="S145" s="10">
        <v>153.4</v>
      </c>
      <c r="T145" s="10">
        <f>Q145+R145+S145</f>
        <v>347.0</v>
      </c>
      <c r="U145" s="10">
        <v>53.4</v>
      </c>
      <c r="V145" s="10">
        <v>61.4</v>
      </c>
      <c r="W145" s="10">
        <f>U145+V145</f>
        <v>114.8</v>
      </c>
      <c r="X145" s="10">
        <f>P145+T145+W145</f>
        <v>2465.4</v>
      </c>
      <c r="Y145" s="8" t="s">
        <v>50</v>
      </c>
      <c r="Z145" s="8" t="s">
        <v>1199</v>
      </c>
    </row>
    <row r="146" spans="8:8" ht="18.75" customHeight="1">
      <c r="A146" s="2" t="s">
        <v>1116</v>
      </c>
      <c r="B146" s="3" t="s">
        <v>1117</v>
      </c>
      <c r="C146" s="3" t="s">
        <v>1118</v>
      </c>
      <c r="D146" s="3" t="s">
        <v>1122</v>
      </c>
      <c r="E146" s="3" t="s">
        <v>1125</v>
      </c>
      <c r="F146" s="6">
        <v>7.0</v>
      </c>
      <c r="G146" s="6">
        <v>4.2</v>
      </c>
      <c r="H146" s="6">
        <v>1.5</v>
      </c>
      <c r="I146" s="6">
        <f>G146-H146</f>
        <v>2.7</v>
      </c>
      <c r="J146" s="6">
        <v>2.85</v>
      </c>
      <c r="K146" s="5">
        <v>189.0</v>
      </c>
      <c r="L146" s="6">
        <v>41.6</v>
      </c>
      <c r="M146" s="5">
        <f>K146+L146</f>
        <v>230.6</v>
      </c>
      <c r="N146" s="5">
        <v>1253.0</v>
      </c>
      <c r="O146" s="5">
        <v>62.2</v>
      </c>
      <c r="P146" s="5">
        <f>N146+O146</f>
        <v>1315.2</v>
      </c>
      <c r="Q146" s="5">
        <v>579.6</v>
      </c>
      <c r="R146" s="5">
        <v>69.8</v>
      </c>
      <c r="S146" s="5">
        <v>103.8</v>
      </c>
      <c r="T146" s="5">
        <f>Q146+R146+S146</f>
        <v>753.1999999999999</v>
      </c>
      <c r="U146" s="5">
        <v>249.6</v>
      </c>
      <c r="V146" s="6">
        <v>41.5</v>
      </c>
      <c r="W146" s="5">
        <f>U146+V146</f>
        <v>291.1</v>
      </c>
      <c r="X146" s="5">
        <f>P146+T146+W146</f>
        <v>2359.5</v>
      </c>
      <c r="Y146" s="3" t="s">
        <v>50</v>
      </c>
      <c r="Z146" s="3" t="s">
        <v>1199</v>
      </c>
    </row>
    <row r="147" spans="8:8" ht="18.75" customHeight="1">
      <c r="A147" s="7" t="s">
        <v>1126</v>
      </c>
      <c r="B147" s="8" t="s">
        <v>1127</v>
      </c>
      <c r="C147" s="8" t="s">
        <v>1128</v>
      </c>
      <c r="D147" s="8" t="s">
        <v>1130</v>
      </c>
      <c r="E147" s="8" t="s">
        <v>1132</v>
      </c>
      <c r="F147" s="11">
        <v>15.0</v>
      </c>
      <c r="G147" s="11">
        <v>2.8</v>
      </c>
      <c r="H147" s="11">
        <v>1.2</v>
      </c>
      <c r="I147" s="11">
        <f>G147-H147</f>
        <v>1.5999999999999999</v>
      </c>
      <c r="J147" s="11">
        <v>2.0</v>
      </c>
      <c r="K147" s="10">
        <v>240.0</v>
      </c>
      <c r="L147" s="10">
        <v>52.8</v>
      </c>
      <c r="M147" s="10">
        <f>K147+L147</f>
        <v>292.8</v>
      </c>
      <c r="N147" s="10">
        <v>715.7</v>
      </c>
      <c r="O147" s="10">
        <v>79.0</v>
      </c>
      <c r="P147" s="10">
        <f>N147+O147</f>
        <v>794.7</v>
      </c>
      <c r="Q147" s="10">
        <v>279.4</v>
      </c>
      <c r="R147" s="11">
        <v>33.8</v>
      </c>
      <c r="S147" s="10">
        <v>131.8</v>
      </c>
      <c r="T147" s="10">
        <f>Q147+R147+S147</f>
        <v>445.0</v>
      </c>
      <c r="U147" s="10">
        <v>136.0</v>
      </c>
      <c r="V147" s="10">
        <v>52.7</v>
      </c>
      <c r="W147" s="10">
        <f>U147+V147</f>
        <v>188.7</v>
      </c>
      <c r="X147" s="10">
        <f>P147+T147+W147</f>
        <v>1428.4</v>
      </c>
      <c r="Y147" s="8" t="s">
        <v>50</v>
      </c>
      <c r="Z147" s="8" t="s">
        <v>1199</v>
      </c>
    </row>
    <row r="148" spans="8:8" ht="18.75" customHeight="1">
      <c r="A148" s="2" t="s">
        <v>1133</v>
      </c>
      <c r="B148" s="3" t="s">
        <v>1134</v>
      </c>
      <c r="C148" s="3" t="s">
        <v>1135</v>
      </c>
      <c r="D148" s="3" t="s">
        <v>1137</v>
      </c>
      <c r="E148" s="3" t="s">
        <v>1138</v>
      </c>
      <c r="F148" s="6">
        <v>11.0</v>
      </c>
      <c r="G148" s="6">
        <v>12.8</v>
      </c>
      <c r="H148" s="6">
        <v>6.4</v>
      </c>
      <c r="I148" s="6">
        <f>G148-H148</f>
        <v>6.4</v>
      </c>
      <c r="J148" s="6">
        <v>9.6</v>
      </c>
      <c r="K148" s="5">
        <v>704.0</v>
      </c>
      <c r="L148" s="5">
        <v>154.9</v>
      </c>
      <c r="M148" s="5">
        <f>K148+L148</f>
        <v>858.9</v>
      </c>
      <c r="N148" s="5">
        <v>243.5</v>
      </c>
      <c r="O148" s="5">
        <v>193.3</v>
      </c>
      <c r="P148" s="5">
        <f>N148+O148</f>
        <v>436.8</v>
      </c>
      <c r="Q148" s="5">
        <v>623.5</v>
      </c>
      <c r="R148" s="6">
        <v>33.0</v>
      </c>
      <c r="S148" s="5">
        <v>322.1</v>
      </c>
      <c r="T148" s="5">
        <f>Q148+R148+S148</f>
        <v>978.6</v>
      </c>
      <c r="U148" s="5">
        <v>62.6</v>
      </c>
      <c r="V148" s="5">
        <v>128.8</v>
      </c>
      <c r="W148" s="5">
        <f>U148+V148</f>
        <v>191.4</v>
      </c>
      <c r="X148" s="5">
        <f>P148+T148+W148</f>
        <v>1606.8000000000002</v>
      </c>
      <c r="Y148" s="3" t="s">
        <v>106</v>
      </c>
      <c r="Z148" s="3" t="s">
        <v>1200</v>
      </c>
    </row>
    <row r="149" spans="8:8" ht="18.75" customHeight="1">
      <c r="A149" s="7" t="s">
        <v>1139</v>
      </c>
      <c r="B149" s="8" t="s">
        <v>39</v>
      </c>
      <c r="C149" s="8" t="s">
        <v>1140</v>
      </c>
      <c r="D149" s="8" t="s">
        <v>1142</v>
      </c>
      <c r="E149" s="8" t="s">
        <v>1143</v>
      </c>
      <c r="F149" s="11">
        <v>10.5</v>
      </c>
      <c r="G149" s="11">
        <v>16.5</v>
      </c>
      <c r="H149" s="11">
        <v>9.8</v>
      </c>
      <c r="I149" s="11">
        <f>G149-H149</f>
        <v>6.699999999999999</v>
      </c>
      <c r="J149" s="11">
        <v>13.15</v>
      </c>
      <c r="K149" s="10">
        <v>703.5</v>
      </c>
      <c r="L149" s="10">
        <v>154.8</v>
      </c>
      <c r="M149" s="10">
        <f>K149+L149</f>
        <v>858.3</v>
      </c>
      <c r="N149" s="10">
        <v>538.5</v>
      </c>
      <c r="O149" s="10">
        <v>231.8</v>
      </c>
      <c r="P149" s="10">
        <f>N149+O149</f>
        <v>770.3</v>
      </c>
      <c r="Q149" s="10">
        <v>186.7</v>
      </c>
      <c r="R149" s="10">
        <v>65.2</v>
      </c>
      <c r="S149" s="10">
        <v>386.2</v>
      </c>
      <c r="T149" s="10">
        <f>Q149+R149+S149</f>
        <v>638.1</v>
      </c>
      <c r="U149" s="10">
        <v>63.3</v>
      </c>
      <c r="V149" s="10">
        <v>154.5</v>
      </c>
      <c r="W149" s="10">
        <f>U149+V149</f>
        <v>217.8</v>
      </c>
      <c r="X149" s="10">
        <f>P149+T149+W149</f>
        <v>1626.2</v>
      </c>
      <c r="Y149" s="8" t="s">
        <v>50</v>
      </c>
      <c r="Z149" s="8" t="s">
        <v>1199</v>
      </c>
    </row>
    <row r="150" spans="8:8" ht="18.75" customHeight="1">
      <c r="A150" s="2" t="s">
        <v>1144</v>
      </c>
      <c r="B150" s="3" t="s">
        <v>39</v>
      </c>
      <c r="C150" s="3" t="s">
        <v>1145</v>
      </c>
      <c r="D150" s="3" t="s">
        <v>1147</v>
      </c>
      <c r="E150" s="3" t="s">
        <v>1149</v>
      </c>
      <c r="F150" s="6">
        <v>2.8</v>
      </c>
      <c r="G150" s="6">
        <v>26.8</v>
      </c>
      <c r="H150" s="6">
        <v>18.5</v>
      </c>
      <c r="I150" s="6">
        <f>G150-H150</f>
        <v>8.3</v>
      </c>
      <c r="J150" s="6">
        <v>22.65</v>
      </c>
      <c r="K150" s="5">
        <v>232.4</v>
      </c>
      <c r="L150" s="5">
        <v>51.1</v>
      </c>
      <c r="M150" s="5">
        <f>K150+L150</f>
        <v>283.5</v>
      </c>
      <c r="N150" s="5">
        <v>227.9</v>
      </c>
      <c r="O150" s="6">
        <v>29.8</v>
      </c>
      <c r="P150" s="5">
        <f>N150+O150</f>
        <v>257.7</v>
      </c>
      <c r="Q150" s="5">
        <v>167.6</v>
      </c>
      <c r="R150" s="6">
        <v>21.0</v>
      </c>
      <c r="S150" s="6">
        <v>49.6</v>
      </c>
      <c r="T150" s="5">
        <f>Q150+R150+S150</f>
        <v>238.2</v>
      </c>
      <c r="U150" s="6">
        <v>43.5</v>
      </c>
      <c r="V150" s="6">
        <v>19.8</v>
      </c>
      <c r="W150" s="5">
        <f>U150+V150</f>
        <v>63.3</v>
      </c>
      <c r="X150" s="5">
        <f>P150+T150+W150</f>
        <v>559.1999999999999</v>
      </c>
      <c r="Y150" s="3" t="s">
        <v>238</v>
      </c>
      <c r="Z150" s="3" t="s">
        <v>1201</v>
      </c>
    </row>
    <row r="151" spans="8:8" ht="18.75" customHeight="1">
      <c r="A151" s="7" t="s">
        <v>1150</v>
      </c>
      <c r="B151" s="8" t="s">
        <v>39</v>
      </c>
      <c r="C151" s="8" t="s">
        <v>1151</v>
      </c>
      <c r="D151" s="8" t="s">
        <v>1153</v>
      </c>
      <c r="E151" s="8" t="s">
        <v>1155</v>
      </c>
      <c r="F151" s="11">
        <v>10.0</v>
      </c>
      <c r="G151" s="11">
        <v>7.8</v>
      </c>
      <c r="H151" s="11">
        <v>3.2</v>
      </c>
      <c r="I151" s="11">
        <f>G151-H151</f>
        <v>4.6</v>
      </c>
      <c r="J151" s="11">
        <v>5.5</v>
      </c>
      <c r="K151" s="10">
        <v>460.0</v>
      </c>
      <c r="L151" s="10">
        <v>101.2</v>
      </c>
      <c r="M151" s="10">
        <f>K151+L151</f>
        <v>561.2</v>
      </c>
      <c r="N151" s="10">
        <v>242.8</v>
      </c>
      <c r="O151" s="10">
        <v>151.5</v>
      </c>
      <c r="P151" s="10">
        <f>N151+O151</f>
        <v>394.3</v>
      </c>
      <c r="Q151" s="10">
        <v>472.6</v>
      </c>
      <c r="R151" s="11">
        <v>31.0</v>
      </c>
      <c r="S151" s="10">
        <v>252.6</v>
      </c>
      <c r="T151" s="10">
        <f>Q151+R151+S151</f>
        <v>756.2</v>
      </c>
      <c r="U151" s="11">
        <v>44.1</v>
      </c>
      <c r="V151" s="10">
        <v>101.0</v>
      </c>
      <c r="W151" s="10">
        <f>U151+V151</f>
        <v>145.1</v>
      </c>
      <c r="X151" s="10">
        <f>P151+T151+W151</f>
        <v>1295.6</v>
      </c>
      <c r="Y151" s="8" t="s">
        <v>50</v>
      </c>
      <c r="Z151" s="8" t="s">
        <v>1199</v>
      </c>
    </row>
  </sheetData>
  <pageMargins left="0.75" right="0.75" top="1.0" bottom="1.0" header="0.511811023622047" footer="0.511811023622047"/>
  <pageSetup paperSize="1" orientation="landscape"/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S61"/>
  <sheetViews>
    <sheetView workbookViewId="0">
      <selection activeCell="A1" sqref="A1"/>
    </sheetView>
  </sheetViews>
  <sheetFormatPr defaultRowHeight="15.0" zeroHeight="1"/>
  <cols>
    <col min="1" max="1" customWidth="1" width="15.0" style="0"/>
    <col min="2" max="2" customWidth="1" width="38.0" style="0"/>
    <col min="3" max="3" customWidth="1" width="26.0" style="0"/>
    <col min="4" max="4" customWidth="1" width="38.0" style="0"/>
    <col min="5" max="6" customWidth="1" width="16.0" style="0"/>
    <col min="7" max="7" customWidth="1" width="35.0" style="0"/>
    <col min="8" max="8" customWidth="1" width="31.0" style="0"/>
    <col min="9" max="17" customWidth="1" width="38.0" style="0"/>
    <col min="18" max="18" customWidth="1" width="21.0" style="0"/>
  </cols>
  <sheetData>
    <row r="1" spans="8:8" ht="24.75" customHeight="1">
      <c r="A1" s="1" t="s">
        <v>1202</v>
      </c>
      <c r="B1" s="1" t="s">
        <v>1203</v>
      </c>
      <c r="C1" s="1" t="s">
        <v>7</v>
      </c>
      <c r="D1" s="1" t="s">
        <v>1204</v>
      </c>
      <c r="E1" s="1" t="s">
        <v>1205</v>
      </c>
      <c r="F1" s="1" t="s">
        <v>8</v>
      </c>
      <c r="G1" s="1" t="s">
        <v>1206</v>
      </c>
      <c r="H1" s="1" t="s">
        <v>1207</v>
      </c>
      <c r="I1" s="1" t="s">
        <v>1208</v>
      </c>
      <c r="J1" s="1" t="s">
        <v>1209</v>
      </c>
      <c r="K1" s="1" t="s">
        <v>1210</v>
      </c>
      <c r="L1" s="1" t="s">
        <v>1211</v>
      </c>
      <c r="M1" s="1" t="s">
        <v>1212</v>
      </c>
      <c r="N1" s="1" t="s">
        <v>1213</v>
      </c>
      <c r="O1" s="1" t="s">
        <v>1214</v>
      </c>
      <c r="P1" s="1" t="s">
        <v>1215</v>
      </c>
      <c r="Q1" s="1" t="s">
        <v>1216</v>
      </c>
      <c r="R1" s="1" t="s">
        <v>1217</v>
      </c>
    </row>
    <row r="2" spans="8:8" ht="18.75" customHeight="1">
      <c r="A2" s="2" t="s">
        <v>1218</v>
      </c>
      <c r="B2" s="3" t="s">
        <v>1219</v>
      </c>
      <c r="C2" s="3" t="s">
        <v>182</v>
      </c>
      <c r="D2" s="3" t="s">
        <v>1220</v>
      </c>
      <c r="E2" s="3" t="s">
        <v>1221</v>
      </c>
      <c r="F2" s="4">
        <v>200.0</v>
      </c>
      <c r="G2" s="3" t="s">
        <v>1222</v>
      </c>
      <c r="H2" s="3" t="s">
        <v>1223</v>
      </c>
      <c r="I2" s="3" t="s">
        <v>1224</v>
      </c>
      <c r="J2" s="3" t="s">
        <v>1225</v>
      </c>
      <c r="K2" s="3" t="s">
        <v>1226</v>
      </c>
      <c r="L2" s="3" t="s">
        <v>1227</v>
      </c>
      <c r="M2" s="3" t="s">
        <v>1228</v>
      </c>
      <c r="N2" s="3" t="s">
        <v>1229</v>
      </c>
      <c r="O2" s="3" t="s">
        <v>1230</v>
      </c>
      <c r="P2" s="3" t="s">
        <v>1231</v>
      </c>
      <c r="Q2" s="3" t="s">
        <v>1232</v>
      </c>
      <c r="R2" s="2" t="s">
        <v>1233</v>
      </c>
    </row>
    <row r="3" spans="8:8" ht="18.75" customHeight="1">
      <c r="A3" s="7" t="s">
        <v>1234</v>
      </c>
      <c r="B3" s="8" t="s">
        <v>1219</v>
      </c>
      <c r="C3" s="8" t="s">
        <v>182</v>
      </c>
      <c r="D3" s="8" t="s">
        <v>1220</v>
      </c>
      <c r="E3" s="8" t="s">
        <v>1221</v>
      </c>
      <c r="F3" s="9">
        <v>200.0</v>
      </c>
      <c r="G3" s="8" t="s">
        <v>1235</v>
      </c>
      <c r="H3" s="8" t="s">
        <v>1236</v>
      </c>
      <c r="I3" s="8" t="s">
        <v>1237</v>
      </c>
      <c r="J3" s="8" t="s">
        <v>1238</v>
      </c>
      <c r="K3" s="8" t="s">
        <v>1239</v>
      </c>
      <c r="L3" s="8" t="s">
        <v>1240</v>
      </c>
      <c r="M3" s="8" t="s">
        <v>1241</v>
      </c>
      <c r="N3" s="8" t="s">
        <v>1242</v>
      </c>
      <c r="O3" s="8" t="s">
        <v>1243</v>
      </c>
      <c r="P3" s="8" t="s">
        <v>138</v>
      </c>
      <c r="Q3" s="8" t="s">
        <v>1244</v>
      </c>
      <c r="R3" s="7" t="s">
        <v>1233</v>
      </c>
    </row>
    <row r="4" spans="8:8" ht="18.75" customHeight="1">
      <c r="A4" s="2" t="s">
        <v>1245</v>
      </c>
      <c r="B4" s="3" t="s">
        <v>1219</v>
      </c>
      <c r="C4" s="3" t="s">
        <v>182</v>
      </c>
      <c r="D4" s="3" t="s">
        <v>1220</v>
      </c>
      <c r="E4" s="3" t="s">
        <v>1221</v>
      </c>
      <c r="F4" s="4">
        <v>200.0</v>
      </c>
      <c r="G4" s="3" t="s">
        <v>1246</v>
      </c>
      <c r="H4" s="3" t="s">
        <v>1247</v>
      </c>
      <c r="I4" s="3" t="s">
        <v>1248</v>
      </c>
      <c r="J4" s="3" t="s">
        <v>1249</v>
      </c>
      <c r="K4" s="3" t="s">
        <v>1250</v>
      </c>
      <c r="L4" s="3" t="s">
        <v>1251</v>
      </c>
      <c r="M4" s="3" t="s">
        <v>1252</v>
      </c>
      <c r="N4" s="3" t="s">
        <v>1253</v>
      </c>
      <c r="O4" s="3" t="s">
        <v>1254</v>
      </c>
      <c r="P4" s="3" t="s">
        <v>76</v>
      </c>
      <c r="Q4" s="3" t="s">
        <v>1255</v>
      </c>
      <c r="R4" s="2" t="s">
        <v>1233</v>
      </c>
    </row>
    <row r="5" spans="8:8" ht="18.75" customHeight="1">
      <c r="A5" s="7" t="s">
        <v>1256</v>
      </c>
      <c r="B5" s="8" t="s">
        <v>1219</v>
      </c>
      <c r="C5" s="8" t="s">
        <v>182</v>
      </c>
      <c r="D5" s="8" t="s">
        <v>1220</v>
      </c>
      <c r="E5" s="8" t="s">
        <v>1221</v>
      </c>
      <c r="F5" s="9">
        <v>200.0</v>
      </c>
      <c r="G5" s="8" t="s">
        <v>1257</v>
      </c>
      <c r="H5" s="8" t="s">
        <v>1258</v>
      </c>
      <c r="I5" s="8" t="s">
        <v>1259</v>
      </c>
      <c r="J5" s="8" t="s">
        <v>1260</v>
      </c>
      <c r="K5" s="8" t="s">
        <v>1261</v>
      </c>
      <c r="L5" s="8" t="s">
        <v>1262</v>
      </c>
      <c r="M5" s="8" t="s">
        <v>1263</v>
      </c>
      <c r="N5" s="8" t="s">
        <v>1264</v>
      </c>
      <c r="O5" s="8" t="s">
        <v>1265</v>
      </c>
      <c r="P5" s="8" t="s">
        <v>473</v>
      </c>
      <c r="Q5" s="8" t="s">
        <v>1266</v>
      </c>
      <c r="R5" s="7" t="s">
        <v>1233</v>
      </c>
    </row>
    <row r="6" spans="8:8" ht="18.75" customHeight="1">
      <c r="A6" s="2" t="s">
        <v>1267</v>
      </c>
      <c r="B6" s="3" t="s">
        <v>1268</v>
      </c>
      <c r="C6" s="3" t="s">
        <v>104</v>
      </c>
      <c r="D6" s="3" t="s">
        <v>1269</v>
      </c>
      <c r="E6" s="3" t="s">
        <v>1270</v>
      </c>
      <c r="F6" s="4">
        <v>170.0</v>
      </c>
      <c r="G6" s="3" t="s">
        <v>1222</v>
      </c>
      <c r="H6" s="3" t="s">
        <v>1223</v>
      </c>
      <c r="I6" s="3" t="s">
        <v>1224</v>
      </c>
      <c r="J6" s="3" t="s">
        <v>1225</v>
      </c>
      <c r="K6" s="3" t="s">
        <v>1226</v>
      </c>
      <c r="L6" s="3" t="s">
        <v>1271</v>
      </c>
      <c r="M6" s="3" t="s">
        <v>1272</v>
      </c>
      <c r="N6" s="3" t="s">
        <v>1273</v>
      </c>
      <c r="O6" s="3" t="s">
        <v>1274</v>
      </c>
      <c r="P6" s="3" t="s">
        <v>1275</v>
      </c>
      <c r="Q6" s="3" t="s">
        <v>1232</v>
      </c>
      <c r="R6" s="2" t="s">
        <v>1233</v>
      </c>
    </row>
    <row r="7" spans="8:8" ht="18.75" customHeight="1">
      <c r="A7" s="7" t="s">
        <v>1276</v>
      </c>
      <c r="B7" s="8" t="s">
        <v>1268</v>
      </c>
      <c r="C7" s="8" t="s">
        <v>104</v>
      </c>
      <c r="D7" s="8" t="s">
        <v>1269</v>
      </c>
      <c r="E7" s="8" t="s">
        <v>1270</v>
      </c>
      <c r="F7" s="9">
        <v>170.0</v>
      </c>
      <c r="G7" s="8" t="s">
        <v>1235</v>
      </c>
      <c r="H7" s="8" t="s">
        <v>1236</v>
      </c>
      <c r="I7" s="8" t="s">
        <v>1237</v>
      </c>
      <c r="J7" s="8" t="s">
        <v>1238</v>
      </c>
      <c r="K7" s="8" t="s">
        <v>1239</v>
      </c>
      <c r="L7" s="8" t="s">
        <v>1277</v>
      </c>
      <c r="M7" s="8" t="s">
        <v>1278</v>
      </c>
      <c r="N7" s="8" t="s">
        <v>1279</v>
      </c>
      <c r="O7" s="8" t="s">
        <v>1280</v>
      </c>
      <c r="P7" s="8" t="s">
        <v>156</v>
      </c>
      <c r="Q7" s="8" t="s">
        <v>1244</v>
      </c>
      <c r="R7" s="7" t="s">
        <v>1233</v>
      </c>
    </row>
    <row r="8" spans="8:8" ht="18.75" customHeight="1">
      <c r="A8" s="2" t="s">
        <v>1281</v>
      </c>
      <c r="B8" s="3" t="s">
        <v>1268</v>
      </c>
      <c r="C8" s="3" t="s">
        <v>104</v>
      </c>
      <c r="D8" s="3" t="s">
        <v>1269</v>
      </c>
      <c r="E8" s="3" t="s">
        <v>1270</v>
      </c>
      <c r="F8" s="4">
        <v>170.0</v>
      </c>
      <c r="G8" s="3" t="s">
        <v>1246</v>
      </c>
      <c r="H8" s="3" t="s">
        <v>1247</v>
      </c>
      <c r="I8" s="3" t="s">
        <v>1248</v>
      </c>
      <c r="J8" s="3" t="s">
        <v>1249</v>
      </c>
      <c r="K8" s="3" t="s">
        <v>1250</v>
      </c>
      <c r="L8" s="3" t="s">
        <v>1282</v>
      </c>
      <c r="M8" s="3" t="s">
        <v>1283</v>
      </c>
      <c r="N8" s="3" t="s">
        <v>1284</v>
      </c>
      <c r="O8" s="3" t="s">
        <v>1285</v>
      </c>
      <c r="P8" s="3" t="s">
        <v>177</v>
      </c>
      <c r="Q8" s="3" t="s">
        <v>1255</v>
      </c>
      <c r="R8" s="2" t="s">
        <v>1233</v>
      </c>
    </row>
    <row r="9" spans="8:8" ht="18.75" customHeight="1">
      <c r="A9" s="7" t="s">
        <v>1286</v>
      </c>
      <c r="B9" s="8" t="s">
        <v>1268</v>
      </c>
      <c r="C9" s="8" t="s">
        <v>104</v>
      </c>
      <c r="D9" s="8" t="s">
        <v>1269</v>
      </c>
      <c r="E9" s="8" t="s">
        <v>1270</v>
      </c>
      <c r="F9" s="9">
        <v>170.0</v>
      </c>
      <c r="G9" s="8" t="s">
        <v>1257</v>
      </c>
      <c r="H9" s="8" t="s">
        <v>1258</v>
      </c>
      <c r="I9" s="8" t="s">
        <v>1259</v>
      </c>
      <c r="J9" s="8" t="s">
        <v>1260</v>
      </c>
      <c r="K9" s="8" t="s">
        <v>1261</v>
      </c>
      <c r="L9" s="8" t="s">
        <v>1287</v>
      </c>
      <c r="M9" s="8" t="s">
        <v>1288</v>
      </c>
      <c r="N9" s="8" t="s">
        <v>1289</v>
      </c>
      <c r="O9" s="8" t="s">
        <v>1290</v>
      </c>
      <c r="P9" s="8" t="s">
        <v>365</v>
      </c>
      <c r="Q9" s="8" t="s">
        <v>1266</v>
      </c>
      <c r="R9" s="7" t="s">
        <v>1233</v>
      </c>
    </row>
    <row r="10" spans="8:8" ht="18.75" customHeight="1">
      <c r="A10" s="2" t="s">
        <v>1291</v>
      </c>
      <c r="B10" s="3" t="s">
        <v>1292</v>
      </c>
      <c r="C10" s="3" t="s">
        <v>404</v>
      </c>
      <c r="D10" s="3" t="s">
        <v>1293</v>
      </c>
      <c r="E10" s="3" t="s">
        <v>1294</v>
      </c>
      <c r="F10" s="4">
        <v>120.0</v>
      </c>
      <c r="G10" s="3" t="s">
        <v>1222</v>
      </c>
      <c r="H10" s="3" t="s">
        <v>1223</v>
      </c>
      <c r="I10" s="3" t="s">
        <v>1224</v>
      </c>
      <c r="J10" s="3" t="s">
        <v>1225</v>
      </c>
      <c r="K10" s="3" t="s">
        <v>1226</v>
      </c>
      <c r="L10" s="3" t="s">
        <v>1271</v>
      </c>
      <c r="M10" s="3" t="s">
        <v>1272</v>
      </c>
      <c r="N10" s="3" t="s">
        <v>1273</v>
      </c>
      <c r="O10" s="3" t="s">
        <v>1274</v>
      </c>
      <c r="P10" s="3" t="s">
        <v>1275</v>
      </c>
      <c r="Q10" s="3" t="s">
        <v>1232</v>
      </c>
      <c r="R10" s="2" t="s">
        <v>1233</v>
      </c>
    </row>
    <row r="11" spans="8:8" ht="18.75" customHeight="1">
      <c r="A11" s="7" t="s">
        <v>1295</v>
      </c>
      <c r="B11" s="8" t="s">
        <v>1292</v>
      </c>
      <c r="C11" s="8" t="s">
        <v>404</v>
      </c>
      <c r="D11" s="8" t="s">
        <v>1293</v>
      </c>
      <c r="E11" s="8" t="s">
        <v>1294</v>
      </c>
      <c r="F11" s="9">
        <v>120.0</v>
      </c>
      <c r="G11" s="8" t="s">
        <v>1235</v>
      </c>
      <c r="H11" s="8" t="s">
        <v>1236</v>
      </c>
      <c r="I11" s="8" t="s">
        <v>1237</v>
      </c>
      <c r="J11" s="8" t="s">
        <v>1238</v>
      </c>
      <c r="K11" s="8" t="s">
        <v>1239</v>
      </c>
      <c r="L11" s="8" t="s">
        <v>1277</v>
      </c>
      <c r="M11" s="8" t="s">
        <v>1278</v>
      </c>
      <c r="N11" s="8" t="s">
        <v>1279</v>
      </c>
      <c r="O11" s="8" t="s">
        <v>1280</v>
      </c>
      <c r="P11" s="8" t="s">
        <v>156</v>
      </c>
      <c r="Q11" s="8" t="s">
        <v>1244</v>
      </c>
      <c r="R11" s="7" t="s">
        <v>1233</v>
      </c>
    </row>
    <row r="12" spans="8:8" ht="18.75" customHeight="1">
      <c r="A12" s="2" t="s">
        <v>1296</v>
      </c>
      <c r="B12" s="3" t="s">
        <v>1292</v>
      </c>
      <c r="C12" s="3" t="s">
        <v>404</v>
      </c>
      <c r="D12" s="3" t="s">
        <v>1293</v>
      </c>
      <c r="E12" s="3" t="s">
        <v>1294</v>
      </c>
      <c r="F12" s="4">
        <v>120.0</v>
      </c>
      <c r="G12" s="3" t="s">
        <v>1246</v>
      </c>
      <c r="H12" s="3" t="s">
        <v>1247</v>
      </c>
      <c r="I12" s="3" t="s">
        <v>1248</v>
      </c>
      <c r="J12" s="3" t="s">
        <v>1249</v>
      </c>
      <c r="K12" s="3" t="s">
        <v>1250</v>
      </c>
      <c r="L12" s="3" t="s">
        <v>1282</v>
      </c>
      <c r="M12" s="3" t="s">
        <v>1283</v>
      </c>
      <c r="N12" s="3" t="s">
        <v>1284</v>
      </c>
      <c r="O12" s="3" t="s">
        <v>1285</v>
      </c>
      <c r="P12" s="3" t="s">
        <v>177</v>
      </c>
      <c r="Q12" s="3" t="s">
        <v>1255</v>
      </c>
      <c r="R12" s="2" t="s">
        <v>1233</v>
      </c>
    </row>
    <row r="13" spans="8:8" ht="18.75" customHeight="1">
      <c r="A13" s="7" t="s">
        <v>1297</v>
      </c>
      <c r="B13" s="8" t="s">
        <v>1292</v>
      </c>
      <c r="C13" s="8" t="s">
        <v>404</v>
      </c>
      <c r="D13" s="8" t="s">
        <v>1293</v>
      </c>
      <c r="E13" s="8" t="s">
        <v>1294</v>
      </c>
      <c r="F13" s="9">
        <v>120.0</v>
      </c>
      <c r="G13" s="8" t="s">
        <v>1257</v>
      </c>
      <c r="H13" s="8" t="s">
        <v>1258</v>
      </c>
      <c r="I13" s="8" t="s">
        <v>1259</v>
      </c>
      <c r="J13" s="8" t="s">
        <v>1260</v>
      </c>
      <c r="K13" s="8" t="s">
        <v>1261</v>
      </c>
      <c r="L13" s="8" t="s">
        <v>1287</v>
      </c>
      <c r="M13" s="8" t="s">
        <v>1288</v>
      </c>
      <c r="N13" s="8" t="s">
        <v>1289</v>
      </c>
      <c r="O13" s="8" t="s">
        <v>1290</v>
      </c>
      <c r="P13" s="8" t="s">
        <v>365</v>
      </c>
      <c r="Q13" s="8" t="s">
        <v>1266</v>
      </c>
      <c r="R13" s="7" t="s">
        <v>1233</v>
      </c>
    </row>
    <row r="14" spans="8:8" ht="18.75" customHeight="1">
      <c r="A14" s="2" t="s">
        <v>1298</v>
      </c>
      <c r="B14" s="3" t="s">
        <v>1299</v>
      </c>
      <c r="C14" s="3" t="s">
        <v>305</v>
      </c>
      <c r="D14" s="3" t="s">
        <v>1300</v>
      </c>
      <c r="E14" s="3" t="s">
        <v>1301</v>
      </c>
      <c r="F14" s="4">
        <v>115.0</v>
      </c>
      <c r="G14" s="3" t="s">
        <v>1222</v>
      </c>
      <c r="H14" s="3" t="s">
        <v>1223</v>
      </c>
      <c r="I14" s="3" t="s">
        <v>1224</v>
      </c>
      <c r="J14" s="3" t="s">
        <v>1225</v>
      </c>
      <c r="K14" s="3" t="s">
        <v>1226</v>
      </c>
      <c r="L14" s="3" t="s">
        <v>1302</v>
      </c>
      <c r="M14" s="3" t="s">
        <v>1303</v>
      </c>
      <c r="N14" s="3" t="s">
        <v>1304</v>
      </c>
      <c r="O14" s="3" t="s">
        <v>1305</v>
      </c>
      <c r="P14" s="3" t="s">
        <v>642</v>
      </c>
      <c r="Q14" s="3" t="s">
        <v>1232</v>
      </c>
      <c r="R14" s="2" t="s">
        <v>1233</v>
      </c>
    </row>
    <row r="15" spans="8:8" ht="18.75" customHeight="1">
      <c r="A15" s="7" t="s">
        <v>1306</v>
      </c>
      <c r="B15" s="8" t="s">
        <v>1299</v>
      </c>
      <c r="C15" s="8" t="s">
        <v>305</v>
      </c>
      <c r="D15" s="8" t="s">
        <v>1300</v>
      </c>
      <c r="E15" s="8" t="s">
        <v>1301</v>
      </c>
      <c r="F15" s="9">
        <v>115.0</v>
      </c>
      <c r="G15" s="8" t="s">
        <v>1235</v>
      </c>
      <c r="H15" s="8" t="s">
        <v>1236</v>
      </c>
      <c r="I15" s="8" t="s">
        <v>1237</v>
      </c>
      <c r="J15" s="8" t="s">
        <v>1238</v>
      </c>
      <c r="K15" s="8" t="s">
        <v>1239</v>
      </c>
      <c r="L15" s="8" t="s">
        <v>1307</v>
      </c>
      <c r="M15" s="8" t="s">
        <v>1308</v>
      </c>
      <c r="N15" s="8" t="s">
        <v>1309</v>
      </c>
      <c r="O15" s="8" t="s">
        <v>1310</v>
      </c>
      <c r="P15" s="8" t="s">
        <v>126</v>
      </c>
      <c r="Q15" s="8" t="s">
        <v>1244</v>
      </c>
      <c r="R15" s="7" t="s">
        <v>1233</v>
      </c>
    </row>
    <row r="16" spans="8:8" ht="18.75" customHeight="1">
      <c r="A16" s="2" t="s">
        <v>1311</v>
      </c>
      <c r="B16" s="3" t="s">
        <v>1299</v>
      </c>
      <c r="C16" s="3" t="s">
        <v>305</v>
      </c>
      <c r="D16" s="3" t="s">
        <v>1300</v>
      </c>
      <c r="E16" s="3" t="s">
        <v>1301</v>
      </c>
      <c r="F16" s="4">
        <v>115.0</v>
      </c>
      <c r="G16" s="3" t="s">
        <v>1246</v>
      </c>
      <c r="H16" s="3" t="s">
        <v>1247</v>
      </c>
      <c r="I16" s="3" t="s">
        <v>1248</v>
      </c>
      <c r="J16" s="3" t="s">
        <v>1249</v>
      </c>
      <c r="K16" s="3" t="s">
        <v>1250</v>
      </c>
      <c r="L16" s="3" t="s">
        <v>1312</v>
      </c>
      <c r="M16" s="3" t="s">
        <v>1313</v>
      </c>
      <c r="N16" s="3" t="s">
        <v>1314</v>
      </c>
      <c r="O16" s="3" t="s">
        <v>1315</v>
      </c>
      <c r="P16" s="3" t="s">
        <v>525</v>
      </c>
      <c r="Q16" s="3" t="s">
        <v>1255</v>
      </c>
      <c r="R16" s="2" t="s">
        <v>1233</v>
      </c>
    </row>
    <row r="17" spans="8:8" ht="18.75" customHeight="1">
      <c r="A17" s="7" t="s">
        <v>1316</v>
      </c>
      <c r="B17" s="8" t="s">
        <v>1299</v>
      </c>
      <c r="C17" s="8" t="s">
        <v>305</v>
      </c>
      <c r="D17" s="8" t="s">
        <v>1300</v>
      </c>
      <c r="E17" s="8" t="s">
        <v>1301</v>
      </c>
      <c r="F17" s="9">
        <v>115.0</v>
      </c>
      <c r="G17" s="8" t="s">
        <v>1257</v>
      </c>
      <c r="H17" s="8" t="s">
        <v>1258</v>
      </c>
      <c r="I17" s="8" t="s">
        <v>1259</v>
      </c>
      <c r="J17" s="8" t="s">
        <v>1260</v>
      </c>
      <c r="K17" s="8" t="s">
        <v>1261</v>
      </c>
      <c r="L17" s="8" t="s">
        <v>1317</v>
      </c>
      <c r="M17" s="8" t="s">
        <v>1318</v>
      </c>
      <c r="N17" s="8" t="s">
        <v>1319</v>
      </c>
      <c r="O17" s="8" t="s">
        <v>1320</v>
      </c>
      <c r="P17" s="8" t="s">
        <v>1103</v>
      </c>
      <c r="Q17" s="8" t="s">
        <v>1266</v>
      </c>
      <c r="R17" s="7" t="s">
        <v>1233</v>
      </c>
    </row>
    <row r="18" spans="8:8" ht="18.75" customHeight="1">
      <c r="A18" s="2" t="s">
        <v>1321</v>
      </c>
      <c r="B18" s="3" t="s">
        <v>1322</v>
      </c>
      <c r="C18" s="3" t="s">
        <v>59</v>
      </c>
      <c r="D18" s="3" t="s">
        <v>1323</v>
      </c>
      <c r="E18" s="3" t="s">
        <v>1324</v>
      </c>
      <c r="F18" s="4">
        <v>145.0</v>
      </c>
      <c r="G18" s="3" t="s">
        <v>1222</v>
      </c>
      <c r="H18" s="3" t="s">
        <v>1223</v>
      </c>
      <c r="I18" s="3" t="s">
        <v>1224</v>
      </c>
      <c r="J18" s="3" t="s">
        <v>1225</v>
      </c>
      <c r="K18" s="3" t="s">
        <v>1226</v>
      </c>
      <c r="L18" s="3" t="s">
        <v>1302</v>
      </c>
      <c r="M18" s="3" t="s">
        <v>1303</v>
      </c>
      <c r="N18" s="3" t="s">
        <v>1304</v>
      </c>
      <c r="O18" s="3" t="s">
        <v>1305</v>
      </c>
      <c r="P18" s="3" t="s">
        <v>642</v>
      </c>
      <c r="Q18" s="3" t="s">
        <v>1232</v>
      </c>
      <c r="R18" s="2" t="s">
        <v>1233</v>
      </c>
    </row>
    <row r="19" spans="8:8" ht="18.75" customHeight="1">
      <c r="A19" s="7" t="s">
        <v>1325</v>
      </c>
      <c r="B19" s="8" t="s">
        <v>1322</v>
      </c>
      <c r="C19" s="8" t="s">
        <v>59</v>
      </c>
      <c r="D19" s="8" t="s">
        <v>1323</v>
      </c>
      <c r="E19" s="8" t="s">
        <v>1324</v>
      </c>
      <c r="F19" s="9">
        <v>145.0</v>
      </c>
      <c r="G19" s="8" t="s">
        <v>1235</v>
      </c>
      <c r="H19" s="8" t="s">
        <v>1236</v>
      </c>
      <c r="I19" s="8" t="s">
        <v>1237</v>
      </c>
      <c r="J19" s="8" t="s">
        <v>1238</v>
      </c>
      <c r="K19" s="8" t="s">
        <v>1239</v>
      </c>
      <c r="L19" s="8" t="s">
        <v>1307</v>
      </c>
      <c r="M19" s="8" t="s">
        <v>1308</v>
      </c>
      <c r="N19" s="8" t="s">
        <v>1309</v>
      </c>
      <c r="O19" s="8" t="s">
        <v>1310</v>
      </c>
      <c r="P19" s="8" t="s">
        <v>126</v>
      </c>
      <c r="Q19" s="8" t="s">
        <v>1244</v>
      </c>
      <c r="R19" s="7" t="s">
        <v>1233</v>
      </c>
    </row>
    <row r="20" spans="8:8" ht="18.75" customHeight="1">
      <c r="A20" s="2" t="s">
        <v>1326</v>
      </c>
      <c r="B20" s="3" t="s">
        <v>1322</v>
      </c>
      <c r="C20" s="3" t="s">
        <v>59</v>
      </c>
      <c r="D20" s="3" t="s">
        <v>1323</v>
      </c>
      <c r="E20" s="3" t="s">
        <v>1324</v>
      </c>
      <c r="F20" s="4">
        <v>145.0</v>
      </c>
      <c r="G20" s="3" t="s">
        <v>1246</v>
      </c>
      <c r="H20" s="3" t="s">
        <v>1247</v>
      </c>
      <c r="I20" s="3" t="s">
        <v>1248</v>
      </c>
      <c r="J20" s="3" t="s">
        <v>1249</v>
      </c>
      <c r="K20" s="3" t="s">
        <v>1250</v>
      </c>
      <c r="L20" s="3" t="s">
        <v>1312</v>
      </c>
      <c r="M20" s="3" t="s">
        <v>1313</v>
      </c>
      <c r="N20" s="3" t="s">
        <v>1314</v>
      </c>
      <c r="O20" s="3" t="s">
        <v>1315</v>
      </c>
      <c r="P20" s="3" t="s">
        <v>525</v>
      </c>
      <c r="Q20" s="3" t="s">
        <v>1255</v>
      </c>
      <c r="R20" s="2" t="s">
        <v>1233</v>
      </c>
    </row>
    <row r="21" spans="8:8" ht="18.75" customHeight="1">
      <c r="A21" s="7" t="s">
        <v>1327</v>
      </c>
      <c r="B21" s="8" t="s">
        <v>1322</v>
      </c>
      <c r="C21" s="8" t="s">
        <v>59</v>
      </c>
      <c r="D21" s="8" t="s">
        <v>1323</v>
      </c>
      <c r="E21" s="8" t="s">
        <v>1324</v>
      </c>
      <c r="F21" s="9">
        <v>145.0</v>
      </c>
      <c r="G21" s="8" t="s">
        <v>1257</v>
      </c>
      <c r="H21" s="8" t="s">
        <v>1258</v>
      </c>
      <c r="I21" s="8" t="s">
        <v>1259</v>
      </c>
      <c r="J21" s="8" t="s">
        <v>1260</v>
      </c>
      <c r="K21" s="8" t="s">
        <v>1261</v>
      </c>
      <c r="L21" s="8" t="s">
        <v>1317</v>
      </c>
      <c r="M21" s="8" t="s">
        <v>1318</v>
      </c>
      <c r="N21" s="8" t="s">
        <v>1319</v>
      </c>
      <c r="O21" s="8" t="s">
        <v>1320</v>
      </c>
      <c r="P21" s="8" t="s">
        <v>1103</v>
      </c>
      <c r="Q21" s="8" t="s">
        <v>1266</v>
      </c>
      <c r="R21" s="7" t="s">
        <v>1233</v>
      </c>
    </row>
    <row r="22" spans="8:8" ht="18.75" customHeight="1">
      <c r="A22" s="2" t="s">
        <v>1328</v>
      </c>
      <c r="B22" s="3" t="s">
        <v>1329</v>
      </c>
      <c r="C22" s="3" t="s">
        <v>243</v>
      </c>
      <c r="D22" s="3" t="s">
        <v>1330</v>
      </c>
      <c r="E22" s="3" t="s">
        <v>1331</v>
      </c>
      <c r="F22" s="4">
        <v>195.0</v>
      </c>
      <c r="G22" s="3" t="s">
        <v>1222</v>
      </c>
      <c r="H22" s="3" t="s">
        <v>1223</v>
      </c>
      <c r="I22" s="3" t="s">
        <v>1224</v>
      </c>
      <c r="J22" s="3" t="s">
        <v>1225</v>
      </c>
      <c r="K22" s="3" t="s">
        <v>1226</v>
      </c>
      <c r="L22" s="3" t="s">
        <v>1332</v>
      </c>
      <c r="M22" s="3" t="s">
        <v>1333</v>
      </c>
      <c r="N22" s="3" t="s">
        <v>1334</v>
      </c>
      <c r="O22" s="3" t="s">
        <v>1335</v>
      </c>
      <c r="P22" s="3" t="s">
        <v>1336</v>
      </c>
      <c r="Q22" s="3" t="s">
        <v>1232</v>
      </c>
      <c r="R22" s="2" t="s">
        <v>1233</v>
      </c>
    </row>
    <row r="23" spans="8:8" ht="18.75" customHeight="1">
      <c r="A23" s="7" t="s">
        <v>1337</v>
      </c>
      <c r="B23" s="8" t="s">
        <v>1329</v>
      </c>
      <c r="C23" s="8" t="s">
        <v>243</v>
      </c>
      <c r="D23" s="8" t="s">
        <v>1330</v>
      </c>
      <c r="E23" s="8" t="s">
        <v>1331</v>
      </c>
      <c r="F23" s="9">
        <v>195.0</v>
      </c>
      <c r="G23" s="8" t="s">
        <v>1235</v>
      </c>
      <c r="H23" s="8" t="s">
        <v>1236</v>
      </c>
      <c r="I23" s="8" t="s">
        <v>1237</v>
      </c>
      <c r="J23" s="8" t="s">
        <v>1238</v>
      </c>
      <c r="K23" s="8" t="s">
        <v>1239</v>
      </c>
      <c r="L23" s="8" t="s">
        <v>1338</v>
      </c>
      <c r="M23" s="8" t="s">
        <v>1339</v>
      </c>
      <c r="N23" s="8" t="s">
        <v>1340</v>
      </c>
      <c r="O23" s="8" t="s">
        <v>1341</v>
      </c>
      <c r="P23" s="8" t="s">
        <v>321</v>
      </c>
      <c r="Q23" s="8" t="s">
        <v>1244</v>
      </c>
      <c r="R23" s="7" t="s">
        <v>1233</v>
      </c>
    </row>
    <row r="24" spans="8:8" ht="18.75" customHeight="1">
      <c r="A24" s="2" t="s">
        <v>1342</v>
      </c>
      <c r="B24" s="3" t="s">
        <v>1329</v>
      </c>
      <c r="C24" s="3" t="s">
        <v>243</v>
      </c>
      <c r="D24" s="3" t="s">
        <v>1330</v>
      </c>
      <c r="E24" s="3" t="s">
        <v>1331</v>
      </c>
      <c r="F24" s="4">
        <v>195.0</v>
      </c>
      <c r="G24" s="3" t="s">
        <v>1246</v>
      </c>
      <c r="H24" s="3" t="s">
        <v>1247</v>
      </c>
      <c r="I24" s="3" t="s">
        <v>1248</v>
      </c>
      <c r="J24" s="3" t="s">
        <v>1249</v>
      </c>
      <c r="K24" s="3" t="s">
        <v>1250</v>
      </c>
      <c r="L24" s="3" t="s">
        <v>1343</v>
      </c>
      <c r="M24" s="3" t="s">
        <v>1344</v>
      </c>
      <c r="N24" s="3" t="s">
        <v>1345</v>
      </c>
      <c r="O24" s="3" t="s">
        <v>1346</v>
      </c>
      <c r="P24" s="3" t="s">
        <v>247</v>
      </c>
      <c r="Q24" s="3" t="s">
        <v>1255</v>
      </c>
      <c r="R24" s="2" t="s">
        <v>1233</v>
      </c>
    </row>
    <row r="25" spans="8:8" ht="18.75" customHeight="1">
      <c r="A25" s="7" t="s">
        <v>1347</v>
      </c>
      <c r="B25" s="8" t="s">
        <v>1329</v>
      </c>
      <c r="C25" s="8" t="s">
        <v>243</v>
      </c>
      <c r="D25" s="8" t="s">
        <v>1330</v>
      </c>
      <c r="E25" s="8" t="s">
        <v>1331</v>
      </c>
      <c r="F25" s="9">
        <v>195.0</v>
      </c>
      <c r="G25" s="8" t="s">
        <v>1257</v>
      </c>
      <c r="H25" s="8" t="s">
        <v>1258</v>
      </c>
      <c r="I25" s="8" t="s">
        <v>1259</v>
      </c>
      <c r="J25" s="8" t="s">
        <v>1260</v>
      </c>
      <c r="K25" s="8" t="s">
        <v>1261</v>
      </c>
      <c r="L25" s="8" t="s">
        <v>1348</v>
      </c>
      <c r="M25" s="8" t="s">
        <v>1349</v>
      </c>
      <c r="N25" s="8" t="s">
        <v>1350</v>
      </c>
      <c r="O25" s="8" t="s">
        <v>1351</v>
      </c>
      <c r="P25" s="8" t="s">
        <v>86</v>
      </c>
      <c r="Q25" s="8" t="s">
        <v>1266</v>
      </c>
      <c r="R25" s="7" t="s">
        <v>1233</v>
      </c>
    </row>
    <row r="26" spans="8:8" ht="18.75" customHeight="1">
      <c r="A26" s="2" t="s">
        <v>1352</v>
      </c>
      <c r="B26" s="3" t="s">
        <v>1353</v>
      </c>
      <c r="C26" s="3" t="s">
        <v>805</v>
      </c>
      <c r="D26" s="3" t="s">
        <v>1354</v>
      </c>
      <c r="E26" s="3" t="s">
        <v>1294</v>
      </c>
      <c r="F26" s="4">
        <v>180.0</v>
      </c>
      <c r="G26" s="3" t="s">
        <v>1222</v>
      </c>
      <c r="H26" s="3" t="s">
        <v>1223</v>
      </c>
      <c r="I26" s="3" t="s">
        <v>1224</v>
      </c>
      <c r="J26" s="3" t="s">
        <v>1225</v>
      </c>
      <c r="K26" s="3" t="s">
        <v>1226</v>
      </c>
      <c r="L26" s="3" t="s">
        <v>1355</v>
      </c>
      <c r="M26" s="3" t="s">
        <v>1356</v>
      </c>
      <c r="N26" s="3" t="s">
        <v>1357</v>
      </c>
      <c r="O26" s="3" t="s">
        <v>1358</v>
      </c>
      <c r="P26" s="3" t="s">
        <v>566</v>
      </c>
      <c r="Q26" s="3" t="s">
        <v>1232</v>
      </c>
      <c r="R26" s="2" t="s">
        <v>1233</v>
      </c>
    </row>
    <row r="27" spans="8:8" ht="18.75" customHeight="1">
      <c r="A27" s="7" t="s">
        <v>1359</v>
      </c>
      <c r="B27" s="8" t="s">
        <v>1353</v>
      </c>
      <c r="C27" s="8" t="s">
        <v>805</v>
      </c>
      <c r="D27" s="8" t="s">
        <v>1354</v>
      </c>
      <c r="E27" s="8" t="s">
        <v>1294</v>
      </c>
      <c r="F27" s="9">
        <v>180.0</v>
      </c>
      <c r="G27" s="8" t="s">
        <v>1235</v>
      </c>
      <c r="H27" s="8" t="s">
        <v>1236</v>
      </c>
      <c r="I27" s="8" t="s">
        <v>1237</v>
      </c>
      <c r="J27" s="8" t="s">
        <v>1238</v>
      </c>
      <c r="K27" s="8" t="s">
        <v>1239</v>
      </c>
      <c r="L27" s="8" t="s">
        <v>1360</v>
      </c>
      <c r="M27" s="8" t="s">
        <v>1361</v>
      </c>
      <c r="N27" s="8" t="s">
        <v>1362</v>
      </c>
      <c r="O27" s="8" t="s">
        <v>1363</v>
      </c>
      <c r="P27" s="8" t="s">
        <v>732</v>
      </c>
      <c r="Q27" s="8" t="s">
        <v>1244</v>
      </c>
      <c r="R27" s="7" t="s">
        <v>1233</v>
      </c>
    </row>
    <row r="28" spans="8:8" ht="18.75" customHeight="1">
      <c r="A28" s="2" t="s">
        <v>1364</v>
      </c>
      <c r="B28" s="3" t="s">
        <v>1353</v>
      </c>
      <c r="C28" s="3" t="s">
        <v>805</v>
      </c>
      <c r="D28" s="3" t="s">
        <v>1354</v>
      </c>
      <c r="E28" s="3" t="s">
        <v>1294</v>
      </c>
      <c r="F28" s="4">
        <v>180.0</v>
      </c>
      <c r="G28" s="3" t="s">
        <v>1246</v>
      </c>
      <c r="H28" s="3" t="s">
        <v>1247</v>
      </c>
      <c r="I28" s="3" t="s">
        <v>1248</v>
      </c>
      <c r="J28" s="3" t="s">
        <v>1249</v>
      </c>
      <c r="K28" s="3" t="s">
        <v>1250</v>
      </c>
      <c r="L28" s="3" t="s">
        <v>1365</v>
      </c>
      <c r="M28" s="3" t="s">
        <v>1366</v>
      </c>
      <c r="N28" s="3" t="s">
        <v>1367</v>
      </c>
      <c r="O28" s="3" t="s">
        <v>1368</v>
      </c>
      <c r="P28" s="3" t="s">
        <v>491</v>
      </c>
      <c r="Q28" s="3" t="s">
        <v>1255</v>
      </c>
      <c r="R28" s="2" t="s">
        <v>1233</v>
      </c>
    </row>
    <row r="29" spans="8:8" ht="18.75" customHeight="1">
      <c r="A29" s="7" t="s">
        <v>1369</v>
      </c>
      <c r="B29" s="8" t="s">
        <v>1353</v>
      </c>
      <c r="C29" s="8" t="s">
        <v>805</v>
      </c>
      <c r="D29" s="8" t="s">
        <v>1354</v>
      </c>
      <c r="E29" s="8" t="s">
        <v>1294</v>
      </c>
      <c r="F29" s="9">
        <v>180.0</v>
      </c>
      <c r="G29" s="8" t="s">
        <v>1257</v>
      </c>
      <c r="H29" s="8" t="s">
        <v>1258</v>
      </c>
      <c r="I29" s="8" t="s">
        <v>1259</v>
      </c>
      <c r="J29" s="8" t="s">
        <v>1260</v>
      </c>
      <c r="K29" s="8" t="s">
        <v>1261</v>
      </c>
      <c r="L29" s="8" t="s">
        <v>1370</v>
      </c>
      <c r="M29" s="8" t="s">
        <v>1371</v>
      </c>
      <c r="N29" s="8" t="s">
        <v>1372</v>
      </c>
      <c r="O29" s="8" t="s">
        <v>1373</v>
      </c>
      <c r="P29" s="8" t="s">
        <v>745</v>
      </c>
      <c r="Q29" s="8" t="s">
        <v>1266</v>
      </c>
      <c r="R29" s="7" t="s">
        <v>1233</v>
      </c>
    </row>
    <row r="30" spans="8:8" ht="18.75" customHeight="1">
      <c r="A30" s="2" t="s">
        <v>1374</v>
      </c>
      <c r="B30" s="3" t="s">
        <v>1375</v>
      </c>
      <c r="C30" s="3" t="s">
        <v>81</v>
      </c>
      <c r="D30" s="3" t="s">
        <v>1376</v>
      </c>
      <c r="E30" s="3" t="s">
        <v>1377</v>
      </c>
      <c r="F30" s="4">
        <v>175.0</v>
      </c>
      <c r="G30" s="3" t="s">
        <v>1222</v>
      </c>
      <c r="H30" s="3" t="s">
        <v>1223</v>
      </c>
      <c r="I30" s="3" t="s">
        <v>1224</v>
      </c>
      <c r="J30" s="3" t="s">
        <v>1225</v>
      </c>
      <c r="K30" s="3" t="s">
        <v>1226</v>
      </c>
      <c r="L30" s="3" t="s">
        <v>1355</v>
      </c>
      <c r="M30" s="3" t="s">
        <v>1356</v>
      </c>
      <c r="N30" s="3" t="s">
        <v>1357</v>
      </c>
      <c r="O30" s="3" t="s">
        <v>1358</v>
      </c>
      <c r="P30" s="3" t="s">
        <v>566</v>
      </c>
      <c r="Q30" s="3" t="s">
        <v>1232</v>
      </c>
      <c r="R30" s="2" t="s">
        <v>1233</v>
      </c>
    </row>
    <row r="31" spans="8:8" ht="18.75" customHeight="1">
      <c r="A31" s="7" t="s">
        <v>1378</v>
      </c>
      <c r="B31" s="8" t="s">
        <v>1375</v>
      </c>
      <c r="C31" s="8" t="s">
        <v>81</v>
      </c>
      <c r="D31" s="8" t="s">
        <v>1376</v>
      </c>
      <c r="E31" s="8" t="s">
        <v>1377</v>
      </c>
      <c r="F31" s="9">
        <v>175.0</v>
      </c>
      <c r="G31" s="8" t="s">
        <v>1235</v>
      </c>
      <c r="H31" s="8" t="s">
        <v>1236</v>
      </c>
      <c r="I31" s="8" t="s">
        <v>1237</v>
      </c>
      <c r="J31" s="8" t="s">
        <v>1238</v>
      </c>
      <c r="K31" s="8" t="s">
        <v>1239</v>
      </c>
      <c r="L31" s="8" t="s">
        <v>1360</v>
      </c>
      <c r="M31" s="8" t="s">
        <v>1361</v>
      </c>
      <c r="N31" s="8" t="s">
        <v>1362</v>
      </c>
      <c r="O31" s="8" t="s">
        <v>1363</v>
      </c>
      <c r="P31" s="8" t="s">
        <v>732</v>
      </c>
      <c r="Q31" s="8" t="s">
        <v>1244</v>
      </c>
      <c r="R31" s="7" t="s">
        <v>1233</v>
      </c>
    </row>
    <row r="32" spans="8:8" ht="18.75" customHeight="1">
      <c r="A32" s="2" t="s">
        <v>1379</v>
      </c>
      <c r="B32" s="3" t="s">
        <v>1375</v>
      </c>
      <c r="C32" s="3" t="s">
        <v>81</v>
      </c>
      <c r="D32" s="3" t="s">
        <v>1376</v>
      </c>
      <c r="E32" s="3" t="s">
        <v>1377</v>
      </c>
      <c r="F32" s="4">
        <v>175.0</v>
      </c>
      <c r="G32" s="3" t="s">
        <v>1246</v>
      </c>
      <c r="H32" s="3" t="s">
        <v>1247</v>
      </c>
      <c r="I32" s="3" t="s">
        <v>1248</v>
      </c>
      <c r="J32" s="3" t="s">
        <v>1249</v>
      </c>
      <c r="K32" s="3" t="s">
        <v>1250</v>
      </c>
      <c r="L32" s="3" t="s">
        <v>1365</v>
      </c>
      <c r="M32" s="3" t="s">
        <v>1366</v>
      </c>
      <c r="N32" s="3" t="s">
        <v>1367</v>
      </c>
      <c r="O32" s="3" t="s">
        <v>1368</v>
      </c>
      <c r="P32" s="3" t="s">
        <v>491</v>
      </c>
      <c r="Q32" s="3" t="s">
        <v>1255</v>
      </c>
      <c r="R32" s="2" t="s">
        <v>1233</v>
      </c>
    </row>
    <row r="33" spans="8:8" ht="18.75" customHeight="1">
      <c r="A33" s="7" t="s">
        <v>1380</v>
      </c>
      <c r="B33" s="8" t="s">
        <v>1375</v>
      </c>
      <c r="C33" s="8" t="s">
        <v>81</v>
      </c>
      <c r="D33" s="8" t="s">
        <v>1376</v>
      </c>
      <c r="E33" s="8" t="s">
        <v>1377</v>
      </c>
      <c r="F33" s="9">
        <v>175.0</v>
      </c>
      <c r="G33" s="8" t="s">
        <v>1257</v>
      </c>
      <c r="H33" s="8" t="s">
        <v>1258</v>
      </c>
      <c r="I33" s="8" t="s">
        <v>1259</v>
      </c>
      <c r="J33" s="8" t="s">
        <v>1260</v>
      </c>
      <c r="K33" s="8" t="s">
        <v>1261</v>
      </c>
      <c r="L33" s="8" t="s">
        <v>1370</v>
      </c>
      <c r="M33" s="8" t="s">
        <v>1371</v>
      </c>
      <c r="N33" s="8" t="s">
        <v>1372</v>
      </c>
      <c r="O33" s="8" t="s">
        <v>1373</v>
      </c>
      <c r="P33" s="8" t="s">
        <v>745</v>
      </c>
      <c r="Q33" s="8" t="s">
        <v>1266</v>
      </c>
      <c r="R33" s="7" t="s">
        <v>1233</v>
      </c>
    </row>
    <row r="34" spans="8:8" ht="18.75" customHeight="1">
      <c r="A34" s="2" t="s">
        <v>1381</v>
      </c>
      <c r="B34" s="3" t="s">
        <v>1382</v>
      </c>
      <c r="C34" s="3" t="s">
        <v>1383</v>
      </c>
      <c r="D34" s="3" t="s">
        <v>1384</v>
      </c>
      <c r="E34" s="3" t="s">
        <v>1385</v>
      </c>
      <c r="F34" s="4">
        <v>140.0</v>
      </c>
      <c r="G34" s="3" t="s">
        <v>1222</v>
      </c>
      <c r="H34" s="3" t="s">
        <v>1223</v>
      </c>
      <c r="I34" s="3" t="s">
        <v>1224</v>
      </c>
      <c r="J34" s="3" t="s">
        <v>1225</v>
      </c>
      <c r="K34" s="3" t="s">
        <v>1226</v>
      </c>
      <c r="L34" s="3" t="s">
        <v>1386</v>
      </c>
      <c r="M34" s="3" t="s">
        <v>1387</v>
      </c>
      <c r="N34" s="3" t="s">
        <v>1388</v>
      </c>
      <c r="O34" s="3" t="s">
        <v>1389</v>
      </c>
      <c r="P34" s="3" t="s">
        <v>311</v>
      </c>
      <c r="Q34" s="3" t="s">
        <v>1232</v>
      </c>
      <c r="R34" s="2" t="s">
        <v>1233</v>
      </c>
    </row>
    <row r="35" spans="8:8" ht="18.75" customHeight="1">
      <c r="A35" s="7" t="s">
        <v>1390</v>
      </c>
      <c r="B35" s="8" t="s">
        <v>1382</v>
      </c>
      <c r="C35" s="8" t="s">
        <v>1383</v>
      </c>
      <c r="D35" s="8" t="s">
        <v>1384</v>
      </c>
      <c r="E35" s="8" t="s">
        <v>1385</v>
      </c>
      <c r="F35" s="9">
        <v>140.0</v>
      </c>
      <c r="G35" s="8" t="s">
        <v>1235</v>
      </c>
      <c r="H35" s="8" t="s">
        <v>1236</v>
      </c>
      <c r="I35" s="8" t="s">
        <v>1237</v>
      </c>
      <c r="J35" s="8" t="s">
        <v>1238</v>
      </c>
      <c r="K35" s="8" t="s">
        <v>1239</v>
      </c>
      <c r="L35" s="8" t="s">
        <v>1391</v>
      </c>
      <c r="M35" s="8" t="s">
        <v>1392</v>
      </c>
      <c r="N35" s="8" t="s">
        <v>1393</v>
      </c>
      <c r="O35" s="8" t="s">
        <v>1394</v>
      </c>
      <c r="P35" s="8" t="s">
        <v>1395</v>
      </c>
      <c r="Q35" s="8" t="s">
        <v>1244</v>
      </c>
      <c r="R35" s="7" t="s">
        <v>1233</v>
      </c>
    </row>
    <row r="36" spans="8:8" ht="18.75" customHeight="1">
      <c r="A36" s="2" t="s">
        <v>1396</v>
      </c>
      <c r="B36" s="3" t="s">
        <v>1382</v>
      </c>
      <c r="C36" s="3" t="s">
        <v>1383</v>
      </c>
      <c r="D36" s="3" t="s">
        <v>1384</v>
      </c>
      <c r="E36" s="3" t="s">
        <v>1385</v>
      </c>
      <c r="F36" s="4">
        <v>140.0</v>
      </c>
      <c r="G36" s="3" t="s">
        <v>1246</v>
      </c>
      <c r="H36" s="3" t="s">
        <v>1247</v>
      </c>
      <c r="I36" s="3" t="s">
        <v>1248</v>
      </c>
      <c r="J36" s="3" t="s">
        <v>1249</v>
      </c>
      <c r="K36" s="3" t="s">
        <v>1250</v>
      </c>
      <c r="L36" s="3" t="s">
        <v>1397</v>
      </c>
      <c r="M36" s="3" t="s">
        <v>1398</v>
      </c>
      <c r="N36" s="3" t="s">
        <v>1399</v>
      </c>
      <c r="O36" s="3" t="s">
        <v>1400</v>
      </c>
      <c r="P36" s="3" t="s">
        <v>64</v>
      </c>
      <c r="Q36" s="3" t="s">
        <v>1255</v>
      </c>
      <c r="R36" s="2" t="s">
        <v>1233</v>
      </c>
    </row>
    <row r="37" spans="8:8" ht="18.75" customHeight="1">
      <c r="A37" s="7" t="s">
        <v>1401</v>
      </c>
      <c r="B37" s="8" t="s">
        <v>1382</v>
      </c>
      <c r="C37" s="8" t="s">
        <v>1383</v>
      </c>
      <c r="D37" s="8" t="s">
        <v>1384</v>
      </c>
      <c r="E37" s="8" t="s">
        <v>1385</v>
      </c>
      <c r="F37" s="9">
        <v>140.0</v>
      </c>
      <c r="G37" s="8" t="s">
        <v>1257</v>
      </c>
      <c r="H37" s="8" t="s">
        <v>1258</v>
      </c>
      <c r="I37" s="8" t="s">
        <v>1259</v>
      </c>
      <c r="J37" s="8" t="s">
        <v>1260</v>
      </c>
      <c r="K37" s="8" t="s">
        <v>1261</v>
      </c>
      <c r="L37" s="8" t="s">
        <v>1402</v>
      </c>
      <c r="M37" s="8" t="s">
        <v>1403</v>
      </c>
      <c r="N37" s="8" t="s">
        <v>1404</v>
      </c>
      <c r="O37" s="8" t="s">
        <v>1405</v>
      </c>
      <c r="P37" s="8" t="s">
        <v>271</v>
      </c>
      <c r="Q37" s="8" t="s">
        <v>1266</v>
      </c>
      <c r="R37" s="7" t="s">
        <v>1233</v>
      </c>
    </row>
    <row r="38" spans="8:8" ht="18.75" customHeight="1">
      <c r="A38" s="2" t="s">
        <v>1406</v>
      </c>
      <c r="B38" s="3" t="s">
        <v>1407</v>
      </c>
      <c r="C38" s="3" t="s">
        <v>594</v>
      </c>
      <c r="D38" s="3" t="s">
        <v>1408</v>
      </c>
      <c r="E38" s="3" t="s">
        <v>1409</v>
      </c>
      <c r="F38" s="4">
        <v>65.0</v>
      </c>
      <c r="G38" s="3" t="s">
        <v>1222</v>
      </c>
      <c r="H38" s="3" t="s">
        <v>1223</v>
      </c>
      <c r="I38" s="3" t="s">
        <v>1224</v>
      </c>
      <c r="J38" s="3" t="s">
        <v>1225</v>
      </c>
      <c r="K38" s="3" t="s">
        <v>1226</v>
      </c>
      <c r="L38" s="3" t="s">
        <v>1410</v>
      </c>
      <c r="M38" s="3" t="s">
        <v>1411</v>
      </c>
      <c r="N38" s="3" t="s">
        <v>1412</v>
      </c>
      <c r="O38" s="3" t="s">
        <v>1413</v>
      </c>
      <c r="P38" s="3" t="s">
        <v>615</v>
      </c>
      <c r="Q38" s="3" t="s">
        <v>1232</v>
      </c>
      <c r="R38" s="2" t="s">
        <v>1233</v>
      </c>
    </row>
    <row r="39" spans="8:8" ht="18.75" customHeight="1">
      <c r="A39" s="7" t="s">
        <v>1414</v>
      </c>
      <c r="B39" s="8" t="s">
        <v>1407</v>
      </c>
      <c r="C39" s="8" t="s">
        <v>594</v>
      </c>
      <c r="D39" s="8" t="s">
        <v>1408</v>
      </c>
      <c r="E39" s="8" t="s">
        <v>1409</v>
      </c>
      <c r="F39" s="9">
        <v>65.0</v>
      </c>
      <c r="G39" s="8" t="s">
        <v>1235</v>
      </c>
      <c r="H39" s="8" t="s">
        <v>1236</v>
      </c>
      <c r="I39" s="8" t="s">
        <v>1237</v>
      </c>
      <c r="J39" s="8" t="s">
        <v>1238</v>
      </c>
      <c r="K39" s="8" t="s">
        <v>1239</v>
      </c>
      <c r="L39" s="8" t="s">
        <v>1415</v>
      </c>
      <c r="M39" s="8" t="s">
        <v>1416</v>
      </c>
      <c r="N39" s="8" t="s">
        <v>1417</v>
      </c>
      <c r="O39" s="8" t="s">
        <v>1418</v>
      </c>
      <c r="P39" s="8" t="s">
        <v>602</v>
      </c>
      <c r="Q39" s="8" t="s">
        <v>1244</v>
      </c>
      <c r="R39" s="7" t="s">
        <v>1233</v>
      </c>
    </row>
    <row r="40" spans="8:8" ht="18.75" customHeight="1">
      <c r="A40" s="2" t="s">
        <v>1419</v>
      </c>
      <c r="B40" s="3" t="s">
        <v>1407</v>
      </c>
      <c r="C40" s="3" t="s">
        <v>594</v>
      </c>
      <c r="D40" s="3" t="s">
        <v>1408</v>
      </c>
      <c r="E40" s="3" t="s">
        <v>1409</v>
      </c>
      <c r="F40" s="4">
        <v>65.0</v>
      </c>
      <c r="G40" s="3" t="s">
        <v>1246</v>
      </c>
      <c r="H40" s="3" t="s">
        <v>1247</v>
      </c>
      <c r="I40" s="3" t="s">
        <v>1248</v>
      </c>
      <c r="J40" s="3" t="s">
        <v>1249</v>
      </c>
      <c r="K40" s="3" t="s">
        <v>1250</v>
      </c>
      <c r="L40" s="3" t="s">
        <v>1420</v>
      </c>
      <c r="M40" s="3" t="s">
        <v>1421</v>
      </c>
      <c r="N40" s="3" t="s">
        <v>1422</v>
      </c>
      <c r="O40" s="3" t="s">
        <v>1423</v>
      </c>
      <c r="P40" s="3" t="s">
        <v>1424</v>
      </c>
      <c r="Q40" s="3" t="s">
        <v>1255</v>
      </c>
      <c r="R40" s="2" t="s">
        <v>1233</v>
      </c>
    </row>
    <row r="41" spans="8:8" ht="18.75" customHeight="1">
      <c r="A41" s="7" t="s">
        <v>1425</v>
      </c>
      <c r="B41" s="8" t="s">
        <v>1407</v>
      </c>
      <c r="C41" s="8" t="s">
        <v>594</v>
      </c>
      <c r="D41" s="8" t="s">
        <v>1408</v>
      </c>
      <c r="E41" s="8" t="s">
        <v>1409</v>
      </c>
      <c r="F41" s="9">
        <v>65.0</v>
      </c>
      <c r="G41" s="8" t="s">
        <v>1257</v>
      </c>
      <c r="H41" s="8" t="s">
        <v>1258</v>
      </c>
      <c r="I41" s="8" t="s">
        <v>1259</v>
      </c>
      <c r="J41" s="8" t="s">
        <v>1260</v>
      </c>
      <c r="K41" s="8" t="s">
        <v>1261</v>
      </c>
      <c r="L41" s="8" t="s">
        <v>1426</v>
      </c>
      <c r="M41" s="8" t="s">
        <v>1427</v>
      </c>
      <c r="N41" s="8" t="s">
        <v>1428</v>
      </c>
      <c r="O41" s="8" t="s">
        <v>1429</v>
      </c>
      <c r="P41" s="8" t="s">
        <v>1430</v>
      </c>
      <c r="Q41" s="8" t="s">
        <v>1266</v>
      </c>
      <c r="R41" s="7" t="s">
        <v>1233</v>
      </c>
    </row>
    <row r="42" spans="8:8" ht="18.75" customHeight="1">
      <c r="A42" s="2" t="s">
        <v>1431</v>
      </c>
      <c r="B42" s="3" t="s">
        <v>1432</v>
      </c>
      <c r="C42" s="3" t="s">
        <v>805</v>
      </c>
      <c r="D42" s="3" t="s">
        <v>1433</v>
      </c>
      <c r="E42" s="3" t="s">
        <v>1331</v>
      </c>
      <c r="F42" s="4">
        <v>105.0</v>
      </c>
      <c r="G42" s="3" t="s">
        <v>1222</v>
      </c>
      <c r="H42" s="3" t="s">
        <v>1223</v>
      </c>
      <c r="I42" s="3" t="s">
        <v>1224</v>
      </c>
      <c r="J42" s="3" t="s">
        <v>1225</v>
      </c>
      <c r="K42" s="3" t="s">
        <v>1226</v>
      </c>
      <c r="L42" s="3" t="s">
        <v>1434</v>
      </c>
      <c r="M42" s="3" t="s">
        <v>1435</v>
      </c>
      <c r="N42" s="3" t="s">
        <v>1436</v>
      </c>
      <c r="O42" s="3" t="s">
        <v>1437</v>
      </c>
      <c r="P42" s="3" t="s">
        <v>1438</v>
      </c>
      <c r="Q42" s="3" t="s">
        <v>1232</v>
      </c>
      <c r="R42" s="2" t="s">
        <v>1233</v>
      </c>
    </row>
    <row r="43" spans="8:8" ht="18.75" customHeight="1">
      <c r="A43" s="7" t="s">
        <v>1439</v>
      </c>
      <c r="B43" s="8" t="s">
        <v>1432</v>
      </c>
      <c r="C43" s="8" t="s">
        <v>805</v>
      </c>
      <c r="D43" s="8" t="s">
        <v>1433</v>
      </c>
      <c r="E43" s="8" t="s">
        <v>1331</v>
      </c>
      <c r="F43" s="9">
        <v>105.0</v>
      </c>
      <c r="G43" s="8" t="s">
        <v>1235</v>
      </c>
      <c r="H43" s="8" t="s">
        <v>1236</v>
      </c>
      <c r="I43" s="8" t="s">
        <v>1237</v>
      </c>
      <c r="J43" s="8" t="s">
        <v>1238</v>
      </c>
      <c r="K43" s="8" t="s">
        <v>1239</v>
      </c>
      <c r="L43" s="8" t="s">
        <v>1440</v>
      </c>
      <c r="M43" s="8" t="s">
        <v>1441</v>
      </c>
      <c r="N43" s="8" t="s">
        <v>1442</v>
      </c>
      <c r="O43" s="8" t="s">
        <v>1443</v>
      </c>
      <c r="P43" s="8" t="s">
        <v>1444</v>
      </c>
      <c r="Q43" s="8" t="s">
        <v>1244</v>
      </c>
      <c r="R43" s="7" t="s">
        <v>1233</v>
      </c>
    </row>
    <row r="44" spans="8:8" ht="18.75" customHeight="1">
      <c r="A44" s="2" t="s">
        <v>1445</v>
      </c>
      <c r="B44" s="3" t="s">
        <v>1432</v>
      </c>
      <c r="C44" s="3" t="s">
        <v>805</v>
      </c>
      <c r="D44" s="3" t="s">
        <v>1433</v>
      </c>
      <c r="E44" s="3" t="s">
        <v>1331</v>
      </c>
      <c r="F44" s="4">
        <v>105.0</v>
      </c>
      <c r="G44" s="3" t="s">
        <v>1246</v>
      </c>
      <c r="H44" s="3" t="s">
        <v>1247</v>
      </c>
      <c r="I44" s="3" t="s">
        <v>1248</v>
      </c>
      <c r="J44" s="3" t="s">
        <v>1249</v>
      </c>
      <c r="K44" s="3" t="s">
        <v>1250</v>
      </c>
      <c r="L44" s="3" t="s">
        <v>1446</v>
      </c>
      <c r="M44" s="3" t="s">
        <v>1447</v>
      </c>
      <c r="N44" s="3" t="s">
        <v>1319</v>
      </c>
      <c r="O44" s="3" t="s">
        <v>1448</v>
      </c>
      <c r="P44" s="3" t="s">
        <v>54</v>
      </c>
      <c r="Q44" s="3" t="s">
        <v>1255</v>
      </c>
      <c r="R44" s="2" t="s">
        <v>1233</v>
      </c>
    </row>
    <row r="45" spans="8:8" ht="18.75" customHeight="1">
      <c r="A45" s="7" t="s">
        <v>1449</v>
      </c>
      <c r="B45" s="8" t="s">
        <v>1432</v>
      </c>
      <c r="C45" s="8" t="s">
        <v>805</v>
      </c>
      <c r="D45" s="8" t="s">
        <v>1433</v>
      </c>
      <c r="E45" s="8" t="s">
        <v>1331</v>
      </c>
      <c r="F45" s="9">
        <v>105.0</v>
      </c>
      <c r="G45" s="8" t="s">
        <v>1257</v>
      </c>
      <c r="H45" s="8" t="s">
        <v>1258</v>
      </c>
      <c r="I45" s="8" t="s">
        <v>1259</v>
      </c>
      <c r="J45" s="8" t="s">
        <v>1260</v>
      </c>
      <c r="K45" s="8" t="s">
        <v>1261</v>
      </c>
      <c r="L45" s="8" t="s">
        <v>1450</v>
      </c>
      <c r="M45" s="8" t="s">
        <v>1451</v>
      </c>
      <c r="N45" s="8" t="s">
        <v>1452</v>
      </c>
      <c r="O45" s="8" t="s">
        <v>1453</v>
      </c>
      <c r="P45" s="8" t="s">
        <v>382</v>
      </c>
      <c r="Q45" s="8" t="s">
        <v>1266</v>
      </c>
      <c r="R45" s="7" t="s">
        <v>1233</v>
      </c>
    </row>
    <row r="46" spans="8:8" ht="18.75" customHeight="1">
      <c r="A46" s="2" t="s">
        <v>1454</v>
      </c>
      <c r="B46" s="3" t="s">
        <v>1455</v>
      </c>
      <c r="C46" s="3" t="s">
        <v>636</v>
      </c>
      <c r="D46" s="3" t="s">
        <v>1456</v>
      </c>
      <c r="E46" s="3" t="s">
        <v>1457</v>
      </c>
      <c r="F46" s="4">
        <v>130.0</v>
      </c>
      <c r="G46" s="3" t="s">
        <v>1222</v>
      </c>
      <c r="H46" s="3" t="s">
        <v>1223</v>
      </c>
      <c r="I46" s="3" t="s">
        <v>1224</v>
      </c>
      <c r="J46" s="3" t="s">
        <v>1225</v>
      </c>
      <c r="K46" s="3" t="s">
        <v>1226</v>
      </c>
      <c r="L46" s="3" t="s">
        <v>1458</v>
      </c>
      <c r="M46" s="3" t="s">
        <v>1459</v>
      </c>
      <c r="N46" s="3" t="s">
        <v>1460</v>
      </c>
      <c r="O46" s="3" t="s">
        <v>1461</v>
      </c>
      <c r="P46" s="3" t="s">
        <v>702</v>
      </c>
      <c r="Q46" s="3" t="s">
        <v>1232</v>
      </c>
      <c r="R46" s="2" t="s">
        <v>1233</v>
      </c>
    </row>
    <row r="47" spans="8:8" ht="18.75" customHeight="1">
      <c r="A47" s="7" t="s">
        <v>1462</v>
      </c>
      <c r="B47" s="8" t="s">
        <v>1455</v>
      </c>
      <c r="C47" s="8" t="s">
        <v>636</v>
      </c>
      <c r="D47" s="8" t="s">
        <v>1456</v>
      </c>
      <c r="E47" s="8" t="s">
        <v>1457</v>
      </c>
      <c r="F47" s="9">
        <v>130.0</v>
      </c>
      <c r="G47" s="8" t="s">
        <v>1235</v>
      </c>
      <c r="H47" s="8" t="s">
        <v>1236</v>
      </c>
      <c r="I47" s="8" t="s">
        <v>1237</v>
      </c>
      <c r="J47" s="8" t="s">
        <v>1238</v>
      </c>
      <c r="K47" s="8" t="s">
        <v>1239</v>
      </c>
      <c r="L47" s="8" t="s">
        <v>1463</v>
      </c>
      <c r="M47" s="8" t="s">
        <v>1464</v>
      </c>
      <c r="N47" s="8" t="s">
        <v>1465</v>
      </c>
      <c r="O47" s="8" t="s">
        <v>1466</v>
      </c>
      <c r="P47" s="8" t="s">
        <v>230</v>
      </c>
      <c r="Q47" s="8" t="s">
        <v>1244</v>
      </c>
      <c r="R47" s="7" t="s">
        <v>1233</v>
      </c>
    </row>
    <row r="48" spans="8:8" ht="18.75" customHeight="1">
      <c r="A48" s="2" t="s">
        <v>1467</v>
      </c>
      <c r="B48" s="3" t="s">
        <v>1455</v>
      </c>
      <c r="C48" s="3" t="s">
        <v>636</v>
      </c>
      <c r="D48" s="3" t="s">
        <v>1456</v>
      </c>
      <c r="E48" s="3" t="s">
        <v>1457</v>
      </c>
      <c r="F48" s="4">
        <v>130.0</v>
      </c>
      <c r="G48" s="3" t="s">
        <v>1246</v>
      </c>
      <c r="H48" s="3" t="s">
        <v>1247</v>
      </c>
      <c r="I48" s="3" t="s">
        <v>1248</v>
      </c>
      <c r="J48" s="3" t="s">
        <v>1249</v>
      </c>
      <c r="K48" s="3" t="s">
        <v>1250</v>
      </c>
      <c r="L48" s="3" t="s">
        <v>1468</v>
      </c>
      <c r="M48" s="3" t="s">
        <v>1469</v>
      </c>
      <c r="N48" s="3" t="s">
        <v>1470</v>
      </c>
      <c r="O48" s="3" t="s">
        <v>1471</v>
      </c>
      <c r="P48" s="3" t="s">
        <v>575</v>
      </c>
      <c r="Q48" s="3" t="s">
        <v>1255</v>
      </c>
      <c r="R48" s="2" t="s">
        <v>1233</v>
      </c>
    </row>
    <row r="49" spans="8:8" ht="18.75" customHeight="1">
      <c r="A49" s="7" t="s">
        <v>1472</v>
      </c>
      <c r="B49" s="8" t="s">
        <v>1455</v>
      </c>
      <c r="C49" s="8" t="s">
        <v>636</v>
      </c>
      <c r="D49" s="8" t="s">
        <v>1456</v>
      </c>
      <c r="E49" s="8" t="s">
        <v>1457</v>
      </c>
      <c r="F49" s="9">
        <v>130.0</v>
      </c>
      <c r="G49" s="8" t="s">
        <v>1257</v>
      </c>
      <c r="H49" s="8" t="s">
        <v>1258</v>
      </c>
      <c r="I49" s="8" t="s">
        <v>1259</v>
      </c>
      <c r="J49" s="8" t="s">
        <v>1260</v>
      </c>
      <c r="K49" s="8" t="s">
        <v>1261</v>
      </c>
      <c r="L49" s="8" t="s">
        <v>1473</v>
      </c>
      <c r="M49" s="8" t="s">
        <v>1474</v>
      </c>
      <c r="N49" s="8" t="s">
        <v>1475</v>
      </c>
      <c r="O49" s="8" t="s">
        <v>1476</v>
      </c>
      <c r="P49" s="8" t="s">
        <v>784</v>
      </c>
      <c r="Q49" s="8" t="s">
        <v>1266</v>
      </c>
      <c r="R49" s="7" t="s">
        <v>1233</v>
      </c>
    </row>
    <row r="50" spans="8:8" ht="18.75" customHeight="1">
      <c r="A50" s="2" t="s">
        <v>1477</v>
      </c>
      <c r="B50" s="3" t="s">
        <v>1478</v>
      </c>
      <c r="C50" s="3" t="s">
        <v>571</v>
      </c>
      <c r="D50" s="3" t="s">
        <v>1479</v>
      </c>
      <c r="E50" s="3" t="s">
        <v>1480</v>
      </c>
      <c r="F50" s="4">
        <v>155.0</v>
      </c>
      <c r="G50" s="3" t="s">
        <v>1222</v>
      </c>
      <c r="H50" s="3" t="s">
        <v>1223</v>
      </c>
      <c r="I50" s="3" t="s">
        <v>1224</v>
      </c>
      <c r="J50" s="3" t="s">
        <v>1225</v>
      </c>
      <c r="K50" s="3" t="s">
        <v>1226</v>
      </c>
      <c r="L50" s="3" t="s">
        <v>1458</v>
      </c>
      <c r="M50" s="3" t="s">
        <v>1459</v>
      </c>
      <c r="N50" s="3" t="s">
        <v>1460</v>
      </c>
      <c r="O50" s="3" t="s">
        <v>1461</v>
      </c>
      <c r="P50" s="3" t="s">
        <v>702</v>
      </c>
      <c r="Q50" s="3" t="s">
        <v>1232</v>
      </c>
      <c r="R50" s="2" t="s">
        <v>1233</v>
      </c>
    </row>
    <row r="51" spans="8:8" ht="18.75" customHeight="1">
      <c r="A51" s="7" t="s">
        <v>1481</v>
      </c>
      <c r="B51" s="8" t="s">
        <v>1478</v>
      </c>
      <c r="C51" s="8" t="s">
        <v>571</v>
      </c>
      <c r="D51" s="8" t="s">
        <v>1479</v>
      </c>
      <c r="E51" s="8" t="s">
        <v>1480</v>
      </c>
      <c r="F51" s="9">
        <v>155.0</v>
      </c>
      <c r="G51" s="8" t="s">
        <v>1235</v>
      </c>
      <c r="H51" s="8" t="s">
        <v>1236</v>
      </c>
      <c r="I51" s="8" t="s">
        <v>1237</v>
      </c>
      <c r="J51" s="8" t="s">
        <v>1238</v>
      </c>
      <c r="K51" s="8" t="s">
        <v>1239</v>
      </c>
      <c r="L51" s="8" t="s">
        <v>1463</v>
      </c>
      <c r="M51" s="8" t="s">
        <v>1464</v>
      </c>
      <c r="N51" s="8" t="s">
        <v>1465</v>
      </c>
      <c r="O51" s="8" t="s">
        <v>1466</v>
      </c>
      <c r="P51" s="8" t="s">
        <v>230</v>
      </c>
      <c r="Q51" s="8" t="s">
        <v>1244</v>
      </c>
      <c r="R51" s="7" t="s">
        <v>1233</v>
      </c>
    </row>
    <row r="52" spans="8:8" ht="18.75" customHeight="1">
      <c r="A52" s="2" t="s">
        <v>1482</v>
      </c>
      <c r="B52" s="3" t="s">
        <v>1478</v>
      </c>
      <c r="C52" s="3" t="s">
        <v>571</v>
      </c>
      <c r="D52" s="3" t="s">
        <v>1479</v>
      </c>
      <c r="E52" s="3" t="s">
        <v>1480</v>
      </c>
      <c r="F52" s="4">
        <v>155.0</v>
      </c>
      <c r="G52" s="3" t="s">
        <v>1246</v>
      </c>
      <c r="H52" s="3" t="s">
        <v>1247</v>
      </c>
      <c r="I52" s="3" t="s">
        <v>1248</v>
      </c>
      <c r="J52" s="3" t="s">
        <v>1249</v>
      </c>
      <c r="K52" s="3" t="s">
        <v>1250</v>
      </c>
      <c r="L52" s="3" t="s">
        <v>1468</v>
      </c>
      <c r="M52" s="3" t="s">
        <v>1469</v>
      </c>
      <c r="N52" s="3" t="s">
        <v>1470</v>
      </c>
      <c r="O52" s="3" t="s">
        <v>1471</v>
      </c>
      <c r="P52" s="3" t="s">
        <v>575</v>
      </c>
      <c r="Q52" s="3" t="s">
        <v>1255</v>
      </c>
      <c r="R52" s="2" t="s">
        <v>1233</v>
      </c>
    </row>
    <row r="53" spans="8:8" ht="18.75" customHeight="1">
      <c r="A53" s="7" t="s">
        <v>1483</v>
      </c>
      <c r="B53" s="8" t="s">
        <v>1478</v>
      </c>
      <c r="C53" s="8" t="s">
        <v>571</v>
      </c>
      <c r="D53" s="8" t="s">
        <v>1479</v>
      </c>
      <c r="E53" s="8" t="s">
        <v>1480</v>
      </c>
      <c r="F53" s="9">
        <v>155.0</v>
      </c>
      <c r="G53" s="8" t="s">
        <v>1257</v>
      </c>
      <c r="H53" s="8" t="s">
        <v>1258</v>
      </c>
      <c r="I53" s="8" t="s">
        <v>1259</v>
      </c>
      <c r="J53" s="8" t="s">
        <v>1260</v>
      </c>
      <c r="K53" s="8" t="s">
        <v>1261</v>
      </c>
      <c r="L53" s="8" t="s">
        <v>1473</v>
      </c>
      <c r="M53" s="8" t="s">
        <v>1474</v>
      </c>
      <c r="N53" s="8" t="s">
        <v>1475</v>
      </c>
      <c r="O53" s="8" t="s">
        <v>1476</v>
      </c>
      <c r="P53" s="8" t="s">
        <v>784</v>
      </c>
      <c r="Q53" s="8" t="s">
        <v>1266</v>
      </c>
      <c r="R53" s="7" t="s">
        <v>1233</v>
      </c>
    </row>
    <row r="54" spans="8:8" ht="18.75" customHeight="1">
      <c r="A54" s="2" t="s">
        <v>1484</v>
      </c>
      <c r="B54" s="3" t="s">
        <v>1485</v>
      </c>
      <c r="C54" s="3" t="s">
        <v>740</v>
      </c>
      <c r="D54" s="3" t="s">
        <v>1486</v>
      </c>
      <c r="E54" s="3" t="s">
        <v>1487</v>
      </c>
      <c r="F54" s="4">
        <v>160.0</v>
      </c>
      <c r="G54" s="3" t="s">
        <v>1222</v>
      </c>
      <c r="H54" s="3" t="s">
        <v>1223</v>
      </c>
      <c r="I54" s="3" t="s">
        <v>1224</v>
      </c>
      <c r="J54" s="3" t="s">
        <v>1225</v>
      </c>
      <c r="K54" s="3" t="s">
        <v>1226</v>
      </c>
      <c r="L54" s="3" t="s">
        <v>1488</v>
      </c>
      <c r="M54" s="3" t="s">
        <v>1489</v>
      </c>
      <c r="N54" s="3" t="s">
        <v>1490</v>
      </c>
      <c r="O54" s="3" t="s">
        <v>1491</v>
      </c>
      <c r="P54" s="3" t="s">
        <v>972</v>
      </c>
      <c r="Q54" s="3" t="s">
        <v>1232</v>
      </c>
      <c r="R54" s="2" t="s">
        <v>1233</v>
      </c>
    </row>
    <row r="55" spans="8:8" ht="18.75" customHeight="1">
      <c r="A55" s="7" t="s">
        <v>1492</v>
      </c>
      <c r="B55" s="8" t="s">
        <v>1485</v>
      </c>
      <c r="C55" s="8" t="s">
        <v>740</v>
      </c>
      <c r="D55" s="8" t="s">
        <v>1486</v>
      </c>
      <c r="E55" s="8" t="s">
        <v>1487</v>
      </c>
      <c r="F55" s="9">
        <v>160.0</v>
      </c>
      <c r="G55" s="8" t="s">
        <v>1235</v>
      </c>
      <c r="H55" s="8" t="s">
        <v>1236</v>
      </c>
      <c r="I55" s="8" t="s">
        <v>1237</v>
      </c>
      <c r="J55" s="8" t="s">
        <v>1238</v>
      </c>
      <c r="K55" s="8" t="s">
        <v>1239</v>
      </c>
      <c r="L55" s="8" t="s">
        <v>1493</v>
      </c>
      <c r="M55" s="8" t="s">
        <v>1494</v>
      </c>
      <c r="N55" s="8" t="s">
        <v>1495</v>
      </c>
      <c r="O55" s="8" t="s">
        <v>1496</v>
      </c>
      <c r="P55" s="8" t="s">
        <v>1497</v>
      </c>
      <c r="Q55" s="8" t="s">
        <v>1244</v>
      </c>
      <c r="R55" s="7" t="s">
        <v>1233</v>
      </c>
    </row>
    <row r="56" spans="8:8" ht="18.75" customHeight="1">
      <c r="A56" s="2" t="s">
        <v>1498</v>
      </c>
      <c r="B56" s="3" t="s">
        <v>1485</v>
      </c>
      <c r="C56" s="3" t="s">
        <v>740</v>
      </c>
      <c r="D56" s="3" t="s">
        <v>1486</v>
      </c>
      <c r="E56" s="3" t="s">
        <v>1487</v>
      </c>
      <c r="F56" s="4">
        <v>160.0</v>
      </c>
      <c r="G56" s="3" t="s">
        <v>1246</v>
      </c>
      <c r="H56" s="3" t="s">
        <v>1247</v>
      </c>
      <c r="I56" s="3" t="s">
        <v>1248</v>
      </c>
      <c r="J56" s="3" t="s">
        <v>1249</v>
      </c>
      <c r="K56" s="3" t="s">
        <v>1250</v>
      </c>
      <c r="L56" s="3" t="s">
        <v>1499</v>
      </c>
      <c r="M56" s="3" t="s">
        <v>1500</v>
      </c>
      <c r="N56" s="3" t="s">
        <v>1501</v>
      </c>
      <c r="O56" s="3" t="s">
        <v>1502</v>
      </c>
      <c r="P56" s="3" t="s">
        <v>952</v>
      </c>
      <c r="Q56" s="3" t="s">
        <v>1255</v>
      </c>
      <c r="R56" s="2" t="s">
        <v>1233</v>
      </c>
    </row>
    <row r="57" spans="8:8" ht="18.75" customHeight="1">
      <c r="A57" s="7" t="s">
        <v>1503</v>
      </c>
      <c r="B57" s="8" t="s">
        <v>1485</v>
      </c>
      <c r="C57" s="8" t="s">
        <v>740</v>
      </c>
      <c r="D57" s="8" t="s">
        <v>1486</v>
      </c>
      <c r="E57" s="8" t="s">
        <v>1487</v>
      </c>
      <c r="F57" s="9">
        <v>160.0</v>
      </c>
      <c r="G57" s="8" t="s">
        <v>1257</v>
      </c>
      <c r="H57" s="8" t="s">
        <v>1258</v>
      </c>
      <c r="I57" s="8" t="s">
        <v>1259</v>
      </c>
      <c r="J57" s="8" t="s">
        <v>1260</v>
      </c>
      <c r="K57" s="8" t="s">
        <v>1261</v>
      </c>
      <c r="L57" s="8" t="s">
        <v>1504</v>
      </c>
      <c r="M57" s="8" t="s">
        <v>1505</v>
      </c>
      <c r="N57" s="8" t="s">
        <v>1506</v>
      </c>
      <c r="O57" s="8" t="s">
        <v>1507</v>
      </c>
      <c r="P57" s="8" t="s">
        <v>849</v>
      </c>
      <c r="Q57" s="8" t="s">
        <v>1266</v>
      </c>
      <c r="R57" s="7" t="s">
        <v>1233</v>
      </c>
    </row>
    <row r="58" spans="8:8" ht="18.75" customHeight="1">
      <c r="A58" s="2" t="s">
        <v>1508</v>
      </c>
      <c r="B58" s="3" t="s">
        <v>1509</v>
      </c>
      <c r="C58" s="3" t="s">
        <v>376</v>
      </c>
      <c r="D58" s="3" t="s">
        <v>1510</v>
      </c>
      <c r="E58" s="3" t="s">
        <v>1511</v>
      </c>
      <c r="F58" s="4">
        <v>215.0</v>
      </c>
      <c r="G58" s="3" t="s">
        <v>1222</v>
      </c>
      <c r="H58" s="3" t="s">
        <v>1223</v>
      </c>
      <c r="I58" s="3" t="s">
        <v>1224</v>
      </c>
      <c r="J58" s="3" t="s">
        <v>1225</v>
      </c>
      <c r="K58" s="3" t="s">
        <v>1226</v>
      </c>
      <c r="L58" s="3" t="s">
        <v>1332</v>
      </c>
      <c r="M58" s="3" t="s">
        <v>1333</v>
      </c>
      <c r="N58" s="3" t="s">
        <v>1334</v>
      </c>
      <c r="O58" s="3" t="s">
        <v>1335</v>
      </c>
      <c r="P58" s="3" t="s">
        <v>1336</v>
      </c>
      <c r="Q58" s="3" t="s">
        <v>1232</v>
      </c>
      <c r="R58" s="2" t="s">
        <v>1233</v>
      </c>
    </row>
    <row r="59" spans="8:8" ht="18.75" customHeight="1">
      <c r="A59" s="7" t="s">
        <v>1512</v>
      </c>
      <c r="B59" s="8" t="s">
        <v>1509</v>
      </c>
      <c r="C59" s="8" t="s">
        <v>376</v>
      </c>
      <c r="D59" s="8" t="s">
        <v>1510</v>
      </c>
      <c r="E59" s="8" t="s">
        <v>1511</v>
      </c>
      <c r="F59" s="9">
        <v>215.0</v>
      </c>
      <c r="G59" s="8" t="s">
        <v>1235</v>
      </c>
      <c r="H59" s="8" t="s">
        <v>1236</v>
      </c>
      <c r="I59" s="8" t="s">
        <v>1237</v>
      </c>
      <c r="J59" s="8" t="s">
        <v>1238</v>
      </c>
      <c r="K59" s="8" t="s">
        <v>1239</v>
      </c>
      <c r="L59" s="8" t="s">
        <v>1338</v>
      </c>
      <c r="M59" s="8" t="s">
        <v>1339</v>
      </c>
      <c r="N59" s="8" t="s">
        <v>1340</v>
      </c>
      <c r="O59" s="8" t="s">
        <v>1341</v>
      </c>
      <c r="P59" s="8" t="s">
        <v>321</v>
      </c>
      <c r="Q59" s="8" t="s">
        <v>1244</v>
      </c>
      <c r="R59" s="7" t="s">
        <v>1233</v>
      </c>
    </row>
    <row r="60" spans="8:8" ht="18.75" customHeight="1">
      <c r="A60" s="2" t="s">
        <v>1513</v>
      </c>
      <c r="B60" s="3" t="s">
        <v>1509</v>
      </c>
      <c r="C60" s="3" t="s">
        <v>376</v>
      </c>
      <c r="D60" s="3" t="s">
        <v>1510</v>
      </c>
      <c r="E60" s="3" t="s">
        <v>1511</v>
      </c>
      <c r="F60" s="4">
        <v>215.0</v>
      </c>
      <c r="G60" s="3" t="s">
        <v>1246</v>
      </c>
      <c r="H60" s="3" t="s">
        <v>1247</v>
      </c>
      <c r="I60" s="3" t="s">
        <v>1248</v>
      </c>
      <c r="J60" s="3" t="s">
        <v>1249</v>
      </c>
      <c r="K60" s="3" t="s">
        <v>1250</v>
      </c>
      <c r="L60" s="3" t="s">
        <v>1343</v>
      </c>
      <c r="M60" s="3" t="s">
        <v>1344</v>
      </c>
      <c r="N60" s="3" t="s">
        <v>1345</v>
      </c>
      <c r="O60" s="3" t="s">
        <v>1346</v>
      </c>
      <c r="P60" s="3" t="s">
        <v>247</v>
      </c>
      <c r="Q60" s="3" t="s">
        <v>1255</v>
      </c>
      <c r="R60" s="2" t="s">
        <v>1233</v>
      </c>
    </row>
    <row r="61" spans="8:8" ht="18.75" customHeight="1">
      <c r="A61" s="7" t="s">
        <v>1514</v>
      </c>
      <c r="B61" s="8" t="s">
        <v>1509</v>
      </c>
      <c r="C61" s="8" t="s">
        <v>376</v>
      </c>
      <c r="D61" s="8" t="s">
        <v>1510</v>
      </c>
      <c r="E61" s="8" t="s">
        <v>1511</v>
      </c>
      <c r="F61" s="9">
        <v>215.0</v>
      </c>
      <c r="G61" s="8" t="s">
        <v>1257</v>
      </c>
      <c r="H61" s="8" t="s">
        <v>1258</v>
      </c>
      <c r="I61" s="8" t="s">
        <v>1259</v>
      </c>
      <c r="J61" s="8" t="s">
        <v>1260</v>
      </c>
      <c r="K61" s="8" t="s">
        <v>1261</v>
      </c>
      <c r="L61" s="8" t="s">
        <v>1348</v>
      </c>
      <c r="M61" s="8" t="s">
        <v>1349</v>
      </c>
      <c r="N61" s="8" t="s">
        <v>1350</v>
      </c>
      <c r="O61" s="8" t="s">
        <v>1351</v>
      </c>
      <c r="P61" s="8" t="s">
        <v>86</v>
      </c>
      <c r="Q61" s="8" t="s">
        <v>1266</v>
      </c>
      <c r="R61" s="7" t="s">
        <v>1233</v>
      </c>
    </row>
  </sheetData>
  <pageMargins left="0.75" right="0.75" top="1.0" bottom="1.0" header="0.511811023622047" footer="0.511811023622047"/>
  <pageSetup paperSize="1" orientation="landscape"/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X241"/>
  <sheetViews>
    <sheetView workbookViewId="0">
      <selection activeCell="A1" sqref="A1"/>
    </sheetView>
  </sheetViews>
  <sheetFormatPr defaultRowHeight="15.0" zeroHeight="1"/>
  <cols>
    <col min="1" max="1" customWidth="1" width="12.0" style="0"/>
    <col min="2" max="2" customWidth="1" width="38.0" style="0"/>
    <col min="3" max="3" customWidth="1" width="26.0" style="0"/>
    <col min="4" max="4" customWidth="1" width="38.0" style="0"/>
    <col min="5" max="5" customWidth="1" width="18.0" style="0"/>
    <col min="6" max="6" customWidth="1" width="16.0" style="0"/>
    <col min="7" max="7" customWidth="1" width="35.0" style="0"/>
    <col min="8" max="8" customWidth="1" width="38.0" style="0"/>
    <col min="9" max="9" customWidth="1" width="33.0" style="0"/>
    <col min="10" max="10" customWidth="1" width="16.0" style="0"/>
    <col min="11" max="12" customWidth="1" width="21.0" style="0"/>
    <col min="13" max="13" customWidth="1" width="34.0" style="0"/>
    <col min="14" max="14" customWidth="1" width="24.0" style="0"/>
    <col min="15" max="15" customWidth="1" width="38.0" style="0"/>
    <col min="16" max="17" customWidth="1" width="33.0" style="0"/>
    <col min="18" max="18" customWidth="1" width="31.0" style="0"/>
    <col min="19" max="19" customWidth="1" width="22.0" style="0"/>
    <col min="20" max="20" customWidth="1" width="27.0" style="0"/>
    <col min="21" max="21" customWidth="1" width="38.0" style="0"/>
    <col min="22" max="22" customWidth="1" width="25.0" style="0"/>
    <col min="23" max="23" customWidth="1" width="22.0" style="0"/>
  </cols>
  <sheetData>
    <row r="1" spans="8:8" ht="24.75" customHeight="1">
      <c r="A1" s="1" t="s">
        <v>1515</v>
      </c>
      <c r="B1" s="1" t="s">
        <v>1203</v>
      </c>
      <c r="C1" s="1" t="s">
        <v>7</v>
      </c>
      <c r="D1" s="1" t="s">
        <v>1516</v>
      </c>
      <c r="E1" s="1" t="s">
        <v>1517</v>
      </c>
      <c r="F1" s="1" t="s">
        <v>8</v>
      </c>
      <c r="G1" s="1" t="s">
        <v>1518</v>
      </c>
      <c r="H1" s="1" t="s">
        <v>1519</v>
      </c>
      <c r="I1" s="1" t="s">
        <v>1520</v>
      </c>
      <c r="J1" s="1" t="s">
        <v>1521</v>
      </c>
      <c r="K1" s="1" t="s">
        <v>1522</v>
      </c>
      <c r="L1" s="1" t="s">
        <v>1523</v>
      </c>
      <c r="M1" s="1" t="s">
        <v>1524</v>
      </c>
      <c r="N1" s="1" t="s">
        <v>1525</v>
      </c>
      <c r="O1" s="1" t="s">
        <v>1526</v>
      </c>
      <c r="P1" s="1" t="s">
        <v>1527</v>
      </c>
      <c r="Q1" s="1" t="s">
        <v>1528</v>
      </c>
      <c r="R1" s="1" t="s">
        <v>1529</v>
      </c>
      <c r="S1" s="1" t="s">
        <v>1530</v>
      </c>
      <c r="T1" s="1" t="s">
        <v>1531</v>
      </c>
      <c r="U1" s="1" t="s">
        <v>1532</v>
      </c>
      <c r="V1" s="1" t="s">
        <v>1533</v>
      </c>
      <c r="W1" s="1" t="s">
        <v>1217</v>
      </c>
    </row>
    <row r="2" spans="8:8" ht="18.75" customHeight="1">
      <c r="A2" s="2" t="s">
        <v>1534</v>
      </c>
      <c r="B2" s="3" t="s">
        <v>1219</v>
      </c>
      <c r="C2" s="3" t="s">
        <v>182</v>
      </c>
      <c r="D2" s="3" t="s">
        <v>1535</v>
      </c>
      <c r="E2" s="3" t="s">
        <v>1221</v>
      </c>
      <c r="F2" s="4">
        <v>200.0</v>
      </c>
      <c r="G2" s="3" t="s">
        <v>1222</v>
      </c>
      <c r="H2" s="3" t="s">
        <v>1536</v>
      </c>
      <c r="I2" s="3" t="s">
        <v>1537</v>
      </c>
      <c r="J2" s="3" t="s">
        <v>1538</v>
      </c>
      <c r="K2" s="3" t="s">
        <v>1539</v>
      </c>
      <c r="L2" s="4">
        <v>80.0</v>
      </c>
      <c r="M2" s="5">
        <v>294.0</v>
      </c>
      <c r="N2" s="6">
        <v>4.2</v>
      </c>
      <c r="O2" s="3" t="s">
        <v>1540</v>
      </c>
      <c r="P2" s="4">
        <v>1.0</v>
      </c>
      <c r="Q2" s="4">
        <v>280.0</v>
      </c>
      <c r="R2" s="6">
        <v>35.0</v>
      </c>
      <c r="S2" s="4">
        <v>24.0</v>
      </c>
      <c r="T2" s="6">
        <v>0.77</v>
      </c>
      <c r="U2" s="3" t="s">
        <v>1541</v>
      </c>
      <c r="V2" s="3" t="s">
        <v>1542</v>
      </c>
      <c r="W2" s="2" t="s">
        <v>1543</v>
      </c>
    </row>
    <row r="3" spans="8:8" ht="18.75" customHeight="1">
      <c r="A3" s="7" t="s">
        <v>1544</v>
      </c>
      <c r="B3" s="8" t="s">
        <v>1219</v>
      </c>
      <c r="C3" s="8" t="s">
        <v>182</v>
      </c>
      <c r="D3" s="8" t="s">
        <v>1535</v>
      </c>
      <c r="E3" s="8" t="s">
        <v>1221</v>
      </c>
      <c r="F3" s="9">
        <v>200.0</v>
      </c>
      <c r="G3" s="8" t="s">
        <v>1222</v>
      </c>
      <c r="H3" s="8" t="s">
        <v>1545</v>
      </c>
      <c r="I3" s="8" t="s">
        <v>1546</v>
      </c>
      <c r="J3" s="8" t="s">
        <v>1547</v>
      </c>
      <c r="K3" s="8" t="s">
        <v>1548</v>
      </c>
      <c r="L3" s="9">
        <v>105.0</v>
      </c>
      <c r="M3" s="10">
        <v>323.0</v>
      </c>
      <c r="N3" s="11">
        <v>3.8</v>
      </c>
      <c r="O3" s="8" t="s">
        <v>1549</v>
      </c>
      <c r="P3" s="9">
        <v>2.0</v>
      </c>
      <c r="Q3" s="9">
        <v>350.0</v>
      </c>
      <c r="R3" s="11">
        <v>28.0</v>
      </c>
      <c r="S3" s="9">
        <v>20.0</v>
      </c>
      <c r="T3" s="11">
        <v>0.59</v>
      </c>
      <c r="U3" s="8" t="s">
        <v>1550</v>
      </c>
      <c r="V3" s="8" t="s">
        <v>1551</v>
      </c>
      <c r="W3" s="7" t="s">
        <v>1543</v>
      </c>
    </row>
    <row r="4" spans="8:8" ht="18.75" customHeight="1">
      <c r="A4" s="2" t="s">
        <v>1552</v>
      </c>
      <c r="B4" s="3" t="s">
        <v>1219</v>
      </c>
      <c r="C4" s="3" t="s">
        <v>182</v>
      </c>
      <c r="D4" s="3" t="s">
        <v>1535</v>
      </c>
      <c r="E4" s="3" t="s">
        <v>1221</v>
      </c>
      <c r="F4" s="4">
        <v>200.0</v>
      </c>
      <c r="G4" s="3" t="s">
        <v>1222</v>
      </c>
      <c r="H4" s="3" t="s">
        <v>1553</v>
      </c>
      <c r="I4" s="3" t="s">
        <v>1554</v>
      </c>
      <c r="J4" s="3" t="s">
        <v>1538</v>
      </c>
      <c r="K4" s="3" t="s">
        <v>1539</v>
      </c>
      <c r="L4" s="4">
        <v>75.0</v>
      </c>
      <c r="M4" s="5">
        <v>261.0</v>
      </c>
      <c r="N4" s="6">
        <v>3.9</v>
      </c>
      <c r="O4" s="3" t="s">
        <v>1555</v>
      </c>
      <c r="P4" s="4">
        <v>1.0</v>
      </c>
      <c r="Q4" s="4">
        <v>250.0</v>
      </c>
      <c r="R4" s="6">
        <v>38.0</v>
      </c>
      <c r="S4" s="4">
        <v>18.0</v>
      </c>
      <c r="T4" s="6">
        <v>0.65</v>
      </c>
      <c r="U4" s="3" t="s">
        <v>1556</v>
      </c>
      <c r="V4" s="3" t="s">
        <v>1557</v>
      </c>
      <c r="W4" s="2" t="s">
        <v>1543</v>
      </c>
    </row>
    <row r="5" spans="8:8" ht="18.75" customHeight="1">
      <c r="A5" s="7" t="s">
        <v>1558</v>
      </c>
      <c r="B5" s="8" t="s">
        <v>1219</v>
      </c>
      <c r="C5" s="8" t="s">
        <v>182</v>
      </c>
      <c r="D5" s="8" t="s">
        <v>1535</v>
      </c>
      <c r="E5" s="8" t="s">
        <v>1221</v>
      </c>
      <c r="F5" s="9">
        <v>200.0</v>
      </c>
      <c r="G5" s="8" t="s">
        <v>1222</v>
      </c>
      <c r="H5" s="8" t="s">
        <v>1559</v>
      </c>
      <c r="I5" s="8" t="s">
        <v>1560</v>
      </c>
      <c r="J5" s="8" t="s">
        <v>1561</v>
      </c>
      <c r="K5" s="8" t="s">
        <v>1548</v>
      </c>
      <c r="L5" s="9">
        <v>110.0</v>
      </c>
      <c r="M5" s="10">
        <v>342.0</v>
      </c>
      <c r="N5" s="11">
        <v>4.0</v>
      </c>
      <c r="O5" s="8" t="s">
        <v>1562</v>
      </c>
      <c r="P5" s="9">
        <v>2.0</v>
      </c>
      <c r="Q5" s="9">
        <v>380.0</v>
      </c>
      <c r="R5" s="11">
        <v>30.0</v>
      </c>
      <c r="S5" s="9">
        <v>19.0</v>
      </c>
      <c r="T5" s="11">
        <v>0.53</v>
      </c>
      <c r="U5" s="8" t="s">
        <v>1563</v>
      </c>
      <c r="V5" s="8" t="s">
        <v>1564</v>
      </c>
      <c r="W5" s="7" t="s">
        <v>1543</v>
      </c>
    </row>
    <row r="6" spans="8:8" ht="18.75" customHeight="1">
      <c r="A6" s="2" t="s">
        <v>1565</v>
      </c>
      <c r="B6" s="3" t="s">
        <v>1219</v>
      </c>
      <c r="C6" s="3" t="s">
        <v>182</v>
      </c>
      <c r="D6" s="3" t="s">
        <v>1535</v>
      </c>
      <c r="E6" s="3" t="s">
        <v>1221</v>
      </c>
      <c r="F6" s="4">
        <v>200.0</v>
      </c>
      <c r="G6" s="3" t="s">
        <v>1235</v>
      </c>
      <c r="H6" s="3" t="s">
        <v>1566</v>
      </c>
      <c r="I6" s="3" t="s">
        <v>1567</v>
      </c>
      <c r="J6" s="3" t="s">
        <v>1568</v>
      </c>
      <c r="K6" s="3" t="s">
        <v>1569</v>
      </c>
      <c r="L6" s="4">
        <v>105.0</v>
      </c>
      <c r="M6" s="5">
        <v>513.0</v>
      </c>
      <c r="N6" s="6">
        <v>5.8</v>
      </c>
      <c r="O6" s="3" t="s">
        <v>1570</v>
      </c>
      <c r="P6" s="4">
        <v>4.0</v>
      </c>
      <c r="Q6" s="4">
        <v>580.0</v>
      </c>
      <c r="R6" s="6">
        <v>18.0</v>
      </c>
      <c r="S6" s="4">
        <v>62.0</v>
      </c>
      <c r="T6" s="6">
        <v>1.15</v>
      </c>
      <c r="U6" s="3" t="s">
        <v>1571</v>
      </c>
      <c r="V6" s="3" t="s">
        <v>1572</v>
      </c>
      <c r="W6" s="2" t="s">
        <v>1543</v>
      </c>
    </row>
    <row r="7" spans="8:8" ht="18.75" customHeight="1">
      <c r="A7" s="7" t="s">
        <v>1573</v>
      </c>
      <c r="B7" s="8" t="s">
        <v>1219</v>
      </c>
      <c r="C7" s="8" t="s">
        <v>182</v>
      </c>
      <c r="D7" s="8" t="s">
        <v>1535</v>
      </c>
      <c r="E7" s="8" t="s">
        <v>1221</v>
      </c>
      <c r="F7" s="9">
        <v>200.0</v>
      </c>
      <c r="G7" s="8" t="s">
        <v>1235</v>
      </c>
      <c r="H7" s="8" t="s">
        <v>1574</v>
      </c>
      <c r="I7" s="8" t="s">
        <v>1575</v>
      </c>
      <c r="J7" s="8" t="s">
        <v>1561</v>
      </c>
      <c r="K7" s="8" t="s">
        <v>1569</v>
      </c>
      <c r="L7" s="9">
        <v>110.0</v>
      </c>
      <c r="M7" s="10">
        <v>484.0</v>
      </c>
      <c r="N7" s="11">
        <v>5.2</v>
      </c>
      <c r="O7" s="8" t="s">
        <v>1576</v>
      </c>
      <c r="P7" s="9">
        <v>4.0</v>
      </c>
      <c r="Q7" s="9">
        <v>550.0</v>
      </c>
      <c r="R7" s="11">
        <v>16.0</v>
      </c>
      <c r="S7" s="9">
        <v>26.0</v>
      </c>
      <c r="T7" s="11">
        <v>0.51</v>
      </c>
      <c r="U7" s="8" t="s">
        <v>1577</v>
      </c>
      <c r="V7" s="8" t="s">
        <v>1578</v>
      </c>
      <c r="W7" s="7" t="s">
        <v>1543</v>
      </c>
    </row>
    <row r="8" spans="8:8" ht="18.75" customHeight="1">
      <c r="A8" s="2" t="s">
        <v>1579</v>
      </c>
      <c r="B8" s="3" t="s">
        <v>1219</v>
      </c>
      <c r="C8" s="3" t="s">
        <v>182</v>
      </c>
      <c r="D8" s="3" t="s">
        <v>1535</v>
      </c>
      <c r="E8" s="3" t="s">
        <v>1221</v>
      </c>
      <c r="F8" s="4">
        <v>200.0</v>
      </c>
      <c r="G8" s="3" t="s">
        <v>1235</v>
      </c>
      <c r="H8" s="3" t="s">
        <v>1580</v>
      </c>
      <c r="I8" s="3" t="s">
        <v>1581</v>
      </c>
      <c r="J8" s="3" t="s">
        <v>1547</v>
      </c>
      <c r="K8" s="3" t="s">
        <v>1539</v>
      </c>
      <c r="L8" s="4">
        <v>160.0</v>
      </c>
      <c r="M8" s="5">
        <v>532.0</v>
      </c>
      <c r="N8" s="6">
        <v>4.8</v>
      </c>
      <c r="O8" s="3" t="s">
        <v>1582</v>
      </c>
      <c r="P8" s="4">
        <v>3.0</v>
      </c>
      <c r="Q8" s="4">
        <v>600.0</v>
      </c>
      <c r="R8" s="6">
        <v>20.0</v>
      </c>
      <c r="S8" s="4">
        <v>18.0</v>
      </c>
      <c r="T8" s="6">
        <v>0.32</v>
      </c>
      <c r="U8" s="3" t="s">
        <v>1583</v>
      </c>
      <c r="V8" s="3" t="s">
        <v>1584</v>
      </c>
      <c r="W8" s="2" t="s">
        <v>1543</v>
      </c>
    </row>
    <row r="9" spans="8:8" ht="18.75" customHeight="1">
      <c r="A9" s="7" t="s">
        <v>1585</v>
      </c>
      <c r="B9" s="8" t="s">
        <v>1219</v>
      </c>
      <c r="C9" s="8" t="s">
        <v>182</v>
      </c>
      <c r="D9" s="8" t="s">
        <v>1535</v>
      </c>
      <c r="E9" s="8" t="s">
        <v>1221</v>
      </c>
      <c r="F9" s="9">
        <v>200.0</v>
      </c>
      <c r="G9" s="8" t="s">
        <v>1235</v>
      </c>
      <c r="H9" s="8" t="s">
        <v>1586</v>
      </c>
      <c r="I9" s="8" t="s">
        <v>1587</v>
      </c>
      <c r="J9" s="8" t="s">
        <v>1568</v>
      </c>
      <c r="K9" s="8" t="s">
        <v>1548</v>
      </c>
      <c r="L9" s="9">
        <v>120.0</v>
      </c>
      <c r="M9" s="10">
        <v>456.0</v>
      </c>
      <c r="N9" s="11">
        <v>4.6</v>
      </c>
      <c r="O9" s="8" t="s">
        <v>1588</v>
      </c>
      <c r="P9" s="9">
        <v>5.0</v>
      </c>
      <c r="Q9" s="9">
        <v>500.0</v>
      </c>
      <c r="R9" s="11">
        <v>18.0</v>
      </c>
      <c r="S9" s="9">
        <v>48.0</v>
      </c>
      <c r="T9" s="11">
        <v>1.0</v>
      </c>
      <c r="U9" s="8" t="s">
        <v>1589</v>
      </c>
      <c r="V9" s="8" t="s">
        <v>1590</v>
      </c>
      <c r="W9" s="7" t="s">
        <v>1543</v>
      </c>
    </row>
    <row r="10" spans="8:8" ht="18.75" customHeight="1">
      <c r="A10" s="2" t="s">
        <v>1591</v>
      </c>
      <c r="B10" s="3" t="s">
        <v>1219</v>
      </c>
      <c r="C10" s="3" t="s">
        <v>182</v>
      </c>
      <c r="D10" s="3" t="s">
        <v>1535</v>
      </c>
      <c r="E10" s="3" t="s">
        <v>1221</v>
      </c>
      <c r="F10" s="4">
        <v>200.0</v>
      </c>
      <c r="G10" s="3" t="s">
        <v>1246</v>
      </c>
      <c r="H10" s="3" t="s">
        <v>1592</v>
      </c>
      <c r="I10" s="3" t="s">
        <v>1593</v>
      </c>
      <c r="J10" s="3" t="s">
        <v>1568</v>
      </c>
      <c r="K10" s="3" t="s">
        <v>1569</v>
      </c>
      <c r="L10" s="4">
        <v>125.0</v>
      </c>
      <c r="M10" s="5">
        <v>874.0</v>
      </c>
      <c r="N10" s="6">
        <v>7.8</v>
      </c>
      <c r="O10" s="3" t="s">
        <v>1594</v>
      </c>
      <c r="P10" s="4">
        <v>11.0</v>
      </c>
      <c r="Q10" s="4">
        <v>950.0</v>
      </c>
      <c r="R10" s="6">
        <v>10.0</v>
      </c>
      <c r="S10" s="4">
        <v>64.0</v>
      </c>
      <c r="T10" s="6">
        <v>0.7</v>
      </c>
      <c r="U10" s="3" t="s">
        <v>1595</v>
      </c>
      <c r="V10" s="3" t="s">
        <v>1590</v>
      </c>
      <c r="W10" s="2" t="s">
        <v>1543</v>
      </c>
    </row>
    <row r="11" spans="8:8" ht="18.75" customHeight="1">
      <c r="A11" s="7" t="s">
        <v>1596</v>
      </c>
      <c r="B11" s="8" t="s">
        <v>1219</v>
      </c>
      <c r="C11" s="8" t="s">
        <v>182</v>
      </c>
      <c r="D11" s="8" t="s">
        <v>1535</v>
      </c>
      <c r="E11" s="8" t="s">
        <v>1221</v>
      </c>
      <c r="F11" s="9">
        <v>200.0</v>
      </c>
      <c r="G11" s="8" t="s">
        <v>1246</v>
      </c>
      <c r="H11" s="8" t="s">
        <v>1597</v>
      </c>
      <c r="I11" s="8" t="s">
        <v>1598</v>
      </c>
      <c r="J11" s="8" t="s">
        <v>1599</v>
      </c>
      <c r="K11" s="8" t="s">
        <v>1539</v>
      </c>
      <c r="L11" s="9">
        <v>165.0</v>
      </c>
      <c r="M11" s="10">
        <v>741.0</v>
      </c>
      <c r="N11" s="11">
        <v>6.4</v>
      </c>
      <c r="O11" s="8" t="s">
        <v>1600</v>
      </c>
      <c r="P11" s="9">
        <v>6.0</v>
      </c>
      <c r="Q11" s="9">
        <v>750.0</v>
      </c>
      <c r="R11" s="11">
        <v>14.0</v>
      </c>
      <c r="S11" s="9">
        <v>28.0</v>
      </c>
      <c r="T11" s="11">
        <v>0.36</v>
      </c>
      <c r="U11" s="8" t="s">
        <v>1601</v>
      </c>
      <c r="V11" s="8" t="s">
        <v>1602</v>
      </c>
      <c r="W11" s="7" t="s">
        <v>1543</v>
      </c>
    </row>
    <row r="12" spans="8:8" ht="18.75" customHeight="1">
      <c r="A12" s="2" t="s">
        <v>1603</v>
      </c>
      <c r="B12" s="3" t="s">
        <v>1219</v>
      </c>
      <c r="C12" s="3" t="s">
        <v>182</v>
      </c>
      <c r="D12" s="3" t="s">
        <v>1535</v>
      </c>
      <c r="E12" s="3" t="s">
        <v>1221</v>
      </c>
      <c r="F12" s="4">
        <v>200.0</v>
      </c>
      <c r="G12" s="3" t="s">
        <v>1246</v>
      </c>
      <c r="H12" s="3" t="s">
        <v>1604</v>
      </c>
      <c r="I12" s="3" t="s">
        <v>1605</v>
      </c>
      <c r="J12" s="3" t="s">
        <v>1606</v>
      </c>
      <c r="K12" s="3" t="s">
        <v>1569</v>
      </c>
      <c r="L12" s="4">
        <v>160.0</v>
      </c>
      <c r="M12" s="5">
        <v>779.0</v>
      </c>
      <c r="N12" s="6">
        <v>6.2</v>
      </c>
      <c r="O12" s="3" t="s">
        <v>1607</v>
      </c>
      <c r="P12" s="4">
        <v>8.0</v>
      </c>
      <c r="Q12" s="4">
        <v>800.0</v>
      </c>
      <c r="R12" s="6">
        <v>12.0</v>
      </c>
      <c r="S12" s="4">
        <v>35.0</v>
      </c>
      <c r="T12" s="6">
        <v>0.43</v>
      </c>
      <c r="U12" s="3" t="s">
        <v>1608</v>
      </c>
      <c r="V12" s="3" t="s">
        <v>1609</v>
      </c>
      <c r="W12" s="2" t="s">
        <v>1543</v>
      </c>
    </row>
    <row r="13" spans="8:8" ht="18.75" customHeight="1">
      <c r="A13" s="7" t="s">
        <v>1610</v>
      </c>
      <c r="B13" s="8" t="s">
        <v>1219</v>
      </c>
      <c r="C13" s="8" t="s">
        <v>182</v>
      </c>
      <c r="D13" s="8" t="s">
        <v>1535</v>
      </c>
      <c r="E13" s="8" t="s">
        <v>1221</v>
      </c>
      <c r="F13" s="9">
        <v>200.0</v>
      </c>
      <c r="G13" s="8" t="s">
        <v>1246</v>
      </c>
      <c r="H13" s="8" t="s">
        <v>1611</v>
      </c>
      <c r="I13" s="8" t="s">
        <v>1612</v>
      </c>
      <c r="J13" s="8" t="s">
        <v>1606</v>
      </c>
      <c r="K13" s="8" t="s">
        <v>1613</v>
      </c>
      <c r="L13" s="9">
        <v>250.0</v>
      </c>
      <c r="M13" s="10">
        <v>998.0</v>
      </c>
      <c r="N13" s="11">
        <v>5.9</v>
      </c>
      <c r="O13" s="8" t="s">
        <v>1614</v>
      </c>
      <c r="P13" s="9">
        <v>13.0</v>
      </c>
      <c r="Q13" s="9">
        <v>1000.0</v>
      </c>
      <c r="R13" s="11">
        <v>10.0</v>
      </c>
      <c r="S13" s="9">
        <v>55.0</v>
      </c>
      <c r="T13" s="11">
        <v>0.52</v>
      </c>
      <c r="U13" s="8" t="s">
        <v>1615</v>
      </c>
      <c r="V13" s="8" t="s">
        <v>1616</v>
      </c>
      <c r="W13" s="7" t="s">
        <v>1543</v>
      </c>
    </row>
    <row r="14" spans="8:8" ht="18.75" customHeight="1">
      <c r="A14" s="2" t="s">
        <v>1617</v>
      </c>
      <c r="B14" s="3" t="s">
        <v>1219</v>
      </c>
      <c r="C14" s="3" t="s">
        <v>182</v>
      </c>
      <c r="D14" s="3" t="s">
        <v>1535</v>
      </c>
      <c r="E14" s="3" t="s">
        <v>1221</v>
      </c>
      <c r="F14" s="4">
        <v>200.0</v>
      </c>
      <c r="G14" s="3" t="s">
        <v>1257</v>
      </c>
      <c r="H14" s="3" t="s">
        <v>1618</v>
      </c>
      <c r="I14" s="3" t="s">
        <v>1619</v>
      </c>
      <c r="J14" s="3" t="s">
        <v>1599</v>
      </c>
      <c r="K14" s="3" t="s">
        <v>1620</v>
      </c>
      <c r="L14" s="4">
        <v>360.0</v>
      </c>
      <c r="M14" s="5">
        <v>1568.0</v>
      </c>
      <c r="N14" s="6">
        <v>8.5</v>
      </c>
      <c r="O14" s="3" t="s">
        <v>1621</v>
      </c>
      <c r="P14" s="4">
        <v>23.0</v>
      </c>
      <c r="Q14" s="4">
        <v>1350.0</v>
      </c>
      <c r="R14" s="6">
        <v>6.0</v>
      </c>
      <c r="S14" s="4">
        <v>1050.0</v>
      </c>
      <c r="T14" s="6">
        <v>6.36</v>
      </c>
      <c r="U14" s="3" t="s">
        <v>1622</v>
      </c>
      <c r="V14" s="3" t="s">
        <v>1623</v>
      </c>
      <c r="W14" s="2" t="s">
        <v>1543</v>
      </c>
    </row>
    <row r="15" spans="8:8" ht="18.75" customHeight="1">
      <c r="A15" s="7" t="s">
        <v>1624</v>
      </c>
      <c r="B15" s="8" t="s">
        <v>1219</v>
      </c>
      <c r="C15" s="8" t="s">
        <v>182</v>
      </c>
      <c r="D15" s="8" t="s">
        <v>1535</v>
      </c>
      <c r="E15" s="8" t="s">
        <v>1221</v>
      </c>
      <c r="F15" s="9">
        <v>200.0</v>
      </c>
      <c r="G15" s="8" t="s">
        <v>1257</v>
      </c>
      <c r="H15" s="8" t="s">
        <v>1625</v>
      </c>
      <c r="I15" s="8" t="s">
        <v>1626</v>
      </c>
      <c r="J15" s="8" t="s">
        <v>1627</v>
      </c>
      <c r="K15" s="8" t="s">
        <v>1628</v>
      </c>
      <c r="L15" s="9">
        <v>340.0</v>
      </c>
      <c r="M15" s="10">
        <v>1444.0</v>
      </c>
      <c r="N15" s="11">
        <v>8.2</v>
      </c>
      <c r="O15" s="8" t="s">
        <v>1629</v>
      </c>
      <c r="P15" s="9">
        <v>28.0</v>
      </c>
      <c r="Q15" s="9">
        <v>1300.0</v>
      </c>
      <c r="R15" s="11">
        <v>6.5</v>
      </c>
      <c r="S15" s="9">
        <v>650.0</v>
      </c>
      <c r="T15" s="11">
        <v>4.28</v>
      </c>
      <c r="U15" s="8" t="s">
        <v>1630</v>
      </c>
      <c r="V15" s="8" t="s">
        <v>1631</v>
      </c>
      <c r="W15" s="7" t="s">
        <v>1543</v>
      </c>
    </row>
    <row r="16" spans="8:8" ht="18.75" customHeight="1">
      <c r="A16" s="2" t="s">
        <v>1632</v>
      </c>
      <c r="B16" s="3" t="s">
        <v>1219</v>
      </c>
      <c r="C16" s="3" t="s">
        <v>182</v>
      </c>
      <c r="D16" s="3" t="s">
        <v>1535</v>
      </c>
      <c r="E16" s="3" t="s">
        <v>1221</v>
      </c>
      <c r="F16" s="4">
        <v>200.0</v>
      </c>
      <c r="G16" s="3" t="s">
        <v>1257</v>
      </c>
      <c r="H16" s="3" t="s">
        <v>1633</v>
      </c>
      <c r="I16" s="3" t="s">
        <v>1593</v>
      </c>
      <c r="J16" s="3" t="s">
        <v>1568</v>
      </c>
      <c r="K16" s="3" t="s">
        <v>1634</v>
      </c>
      <c r="L16" s="4">
        <v>240.0</v>
      </c>
      <c r="M16" s="5">
        <v>1758.0</v>
      </c>
      <c r="N16" s="6">
        <v>9.0</v>
      </c>
      <c r="O16" s="3" t="s">
        <v>1635</v>
      </c>
      <c r="P16" s="4">
        <v>27.0</v>
      </c>
      <c r="Q16" s="4">
        <v>1500.0</v>
      </c>
      <c r="R16" s="6">
        <v>4.5</v>
      </c>
      <c r="S16" s="4">
        <v>120.0</v>
      </c>
      <c r="T16" s="6">
        <v>0.65</v>
      </c>
      <c r="U16" s="3" t="s">
        <v>1636</v>
      </c>
      <c r="V16" s="3" t="s">
        <v>1637</v>
      </c>
      <c r="W16" s="2" t="s">
        <v>1543</v>
      </c>
    </row>
    <row r="17" spans="8:8" ht="18.75" customHeight="1">
      <c r="A17" s="7" t="s">
        <v>1638</v>
      </c>
      <c r="B17" s="8" t="s">
        <v>1219</v>
      </c>
      <c r="C17" s="8" t="s">
        <v>182</v>
      </c>
      <c r="D17" s="8" t="s">
        <v>1535</v>
      </c>
      <c r="E17" s="8" t="s">
        <v>1221</v>
      </c>
      <c r="F17" s="9">
        <v>200.0</v>
      </c>
      <c r="G17" s="8" t="s">
        <v>1257</v>
      </c>
      <c r="H17" s="8" t="s">
        <v>1639</v>
      </c>
      <c r="I17" s="8" t="s">
        <v>1640</v>
      </c>
      <c r="J17" s="8" t="s">
        <v>1641</v>
      </c>
      <c r="K17" s="8" t="s">
        <v>1642</v>
      </c>
      <c r="L17" s="9">
        <v>365.0</v>
      </c>
      <c r="M17" s="10">
        <v>1406.0</v>
      </c>
      <c r="N17" s="11">
        <v>7.2</v>
      </c>
      <c r="O17" s="8" t="s">
        <v>1643</v>
      </c>
      <c r="P17" s="9">
        <v>21.0</v>
      </c>
      <c r="Q17" s="9">
        <v>1400.0</v>
      </c>
      <c r="R17" s="11">
        <v>6.0</v>
      </c>
      <c r="S17" s="9">
        <v>140.0</v>
      </c>
      <c r="T17" s="11">
        <v>0.95</v>
      </c>
      <c r="U17" s="8" t="s">
        <v>1644</v>
      </c>
      <c r="V17" s="8" t="s">
        <v>1645</v>
      </c>
      <c r="W17" s="7" t="s">
        <v>1543</v>
      </c>
    </row>
    <row r="18" spans="8:8" ht="18.75" customHeight="1">
      <c r="A18" s="2" t="s">
        <v>1646</v>
      </c>
      <c r="B18" s="3" t="s">
        <v>1268</v>
      </c>
      <c r="C18" s="3" t="s">
        <v>104</v>
      </c>
      <c r="D18" s="3" t="s">
        <v>1647</v>
      </c>
      <c r="E18" s="3" t="s">
        <v>1270</v>
      </c>
      <c r="F18" s="4">
        <v>170.0</v>
      </c>
      <c r="G18" s="3" t="s">
        <v>1222</v>
      </c>
      <c r="H18" s="3" t="s">
        <v>1536</v>
      </c>
      <c r="I18" s="3" t="s">
        <v>1537</v>
      </c>
      <c r="J18" s="3" t="s">
        <v>1538</v>
      </c>
      <c r="K18" s="3" t="s">
        <v>1539</v>
      </c>
      <c r="L18" s="4">
        <v>80.0</v>
      </c>
      <c r="M18" s="5">
        <v>307.0</v>
      </c>
      <c r="N18" s="6">
        <v>4.2</v>
      </c>
      <c r="O18" s="3" t="s">
        <v>1540</v>
      </c>
      <c r="P18" s="4">
        <v>1.0</v>
      </c>
      <c r="Q18" s="4">
        <v>280.0</v>
      </c>
      <c r="R18" s="6">
        <v>35.0</v>
      </c>
      <c r="S18" s="4">
        <v>24.0</v>
      </c>
      <c r="T18" s="6">
        <v>0.77</v>
      </c>
      <c r="U18" s="3" t="s">
        <v>1541</v>
      </c>
      <c r="V18" s="3" t="s">
        <v>1542</v>
      </c>
      <c r="W18" s="2" t="s">
        <v>1543</v>
      </c>
    </row>
    <row r="19" spans="8:8" ht="18.75" customHeight="1">
      <c r="A19" s="7" t="s">
        <v>1648</v>
      </c>
      <c r="B19" s="8" t="s">
        <v>1268</v>
      </c>
      <c r="C19" s="8" t="s">
        <v>104</v>
      </c>
      <c r="D19" s="8" t="s">
        <v>1647</v>
      </c>
      <c r="E19" s="8" t="s">
        <v>1270</v>
      </c>
      <c r="F19" s="9">
        <v>170.0</v>
      </c>
      <c r="G19" s="8" t="s">
        <v>1222</v>
      </c>
      <c r="H19" s="8" t="s">
        <v>1545</v>
      </c>
      <c r="I19" s="8" t="s">
        <v>1546</v>
      </c>
      <c r="J19" s="8" t="s">
        <v>1547</v>
      </c>
      <c r="K19" s="8" t="s">
        <v>1548</v>
      </c>
      <c r="L19" s="9">
        <v>105.0</v>
      </c>
      <c r="M19" s="10">
        <v>337.0</v>
      </c>
      <c r="N19" s="11">
        <v>3.8</v>
      </c>
      <c r="O19" s="8" t="s">
        <v>1549</v>
      </c>
      <c r="P19" s="9">
        <v>2.0</v>
      </c>
      <c r="Q19" s="9">
        <v>350.0</v>
      </c>
      <c r="R19" s="11">
        <v>28.0</v>
      </c>
      <c r="S19" s="9">
        <v>20.0</v>
      </c>
      <c r="T19" s="11">
        <v>0.59</v>
      </c>
      <c r="U19" s="8" t="s">
        <v>1550</v>
      </c>
      <c r="V19" s="8" t="s">
        <v>1551</v>
      </c>
      <c r="W19" s="7" t="s">
        <v>1543</v>
      </c>
    </row>
    <row r="20" spans="8:8" ht="18.75" customHeight="1">
      <c r="A20" s="2" t="s">
        <v>1649</v>
      </c>
      <c r="B20" s="3" t="s">
        <v>1268</v>
      </c>
      <c r="C20" s="3" t="s">
        <v>104</v>
      </c>
      <c r="D20" s="3" t="s">
        <v>1647</v>
      </c>
      <c r="E20" s="3" t="s">
        <v>1270</v>
      </c>
      <c r="F20" s="4">
        <v>170.0</v>
      </c>
      <c r="G20" s="3" t="s">
        <v>1222</v>
      </c>
      <c r="H20" s="3" t="s">
        <v>1553</v>
      </c>
      <c r="I20" s="3" t="s">
        <v>1554</v>
      </c>
      <c r="J20" s="3" t="s">
        <v>1538</v>
      </c>
      <c r="K20" s="3" t="s">
        <v>1539</v>
      </c>
      <c r="L20" s="4">
        <v>75.0</v>
      </c>
      <c r="M20" s="5">
        <v>272.0</v>
      </c>
      <c r="N20" s="6">
        <v>3.9</v>
      </c>
      <c r="O20" s="3" t="s">
        <v>1555</v>
      </c>
      <c r="P20" s="4">
        <v>1.0</v>
      </c>
      <c r="Q20" s="4">
        <v>250.0</v>
      </c>
      <c r="R20" s="6">
        <v>38.0</v>
      </c>
      <c r="S20" s="4">
        <v>18.0</v>
      </c>
      <c r="T20" s="6">
        <v>0.65</v>
      </c>
      <c r="U20" s="3" t="s">
        <v>1556</v>
      </c>
      <c r="V20" s="3" t="s">
        <v>1557</v>
      </c>
      <c r="W20" s="2" t="s">
        <v>1543</v>
      </c>
    </row>
    <row r="21" spans="8:8" ht="18.75" customHeight="1">
      <c r="A21" s="7" t="s">
        <v>1650</v>
      </c>
      <c r="B21" s="8" t="s">
        <v>1268</v>
      </c>
      <c r="C21" s="8" t="s">
        <v>104</v>
      </c>
      <c r="D21" s="8" t="s">
        <v>1647</v>
      </c>
      <c r="E21" s="8" t="s">
        <v>1270</v>
      </c>
      <c r="F21" s="9">
        <v>170.0</v>
      </c>
      <c r="G21" s="8" t="s">
        <v>1222</v>
      </c>
      <c r="H21" s="8" t="s">
        <v>1559</v>
      </c>
      <c r="I21" s="8" t="s">
        <v>1560</v>
      </c>
      <c r="J21" s="8" t="s">
        <v>1561</v>
      </c>
      <c r="K21" s="8" t="s">
        <v>1548</v>
      </c>
      <c r="L21" s="9">
        <v>110.0</v>
      </c>
      <c r="M21" s="10">
        <v>356.0</v>
      </c>
      <c r="N21" s="11">
        <v>4.0</v>
      </c>
      <c r="O21" s="8" t="s">
        <v>1562</v>
      </c>
      <c r="P21" s="9">
        <v>2.0</v>
      </c>
      <c r="Q21" s="9">
        <v>380.0</v>
      </c>
      <c r="R21" s="11">
        <v>30.0</v>
      </c>
      <c r="S21" s="9">
        <v>19.0</v>
      </c>
      <c r="T21" s="11">
        <v>0.53</v>
      </c>
      <c r="U21" s="8" t="s">
        <v>1563</v>
      </c>
      <c r="V21" s="8" t="s">
        <v>1564</v>
      </c>
      <c r="W21" s="7" t="s">
        <v>1543</v>
      </c>
    </row>
    <row r="22" spans="8:8" ht="18.75" customHeight="1">
      <c r="A22" s="2" t="s">
        <v>1651</v>
      </c>
      <c r="B22" s="3" t="s">
        <v>1268</v>
      </c>
      <c r="C22" s="3" t="s">
        <v>104</v>
      </c>
      <c r="D22" s="3" t="s">
        <v>1647</v>
      </c>
      <c r="E22" s="3" t="s">
        <v>1270</v>
      </c>
      <c r="F22" s="4">
        <v>170.0</v>
      </c>
      <c r="G22" s="3" t="s">
        <v>1235</v>
      </c>
      <c r="H22" s="3" t="s">
        <v>1566</v>
      </c>
      <c r="I22" s="3" t="s">
        <v>1567</v>
      </c>
      <c r="J22" s="3" t="s">
        <v>1568</v>
      </c>
      <c r="K22" s="3" t="s">
        <v>1569</v>
      </c>
      <c r="L22" s="4">
        <v>105.0</v>
      </c>
      <c r="M22" s="5">
        <v>535.0</v>
      </c>
      <c r="N22" s="6">
        <v>5.8</v>
      </c>
      <c r="O22" s="3" t="s">
        <v>1570</v>
      </c>
      <c r="P22" s="4">
        <v>4.0</v>
      </c>
      <c r="Q22" s="4">
        <v>580.0</v>
      </c>
      <c r="R22" s="6">
        <v>18.0</v>
      </c>
      <c r="S22" s="4">
        <v>62.0</v>
      </c>
      <c r="T22" s="6">
        <v>1.15</v>
      </c>
      <c r="U22" s="3" t="s">
        <v>1571</v>
      </c>
      <c r="V22" s="3" t="s">
        <v>1572</v>
      </c>
      <c r="W22" s="2" t="s">
        <v>1543</v>
      </c>
    </row>
    <row r="23" spans="8:8" ht="18.75" customHeight="1">
      <c r="A23" s="7" t="s">
        <v>1652</v>
      </c>
      <c r="B23" s="8" t="s">
        <v>1268</v>
      </c>
      <c r="C23" s="8" t="s">
        <v>104</v>
      </c>
      <c r="D23" s="8" t="s">
        <v>1647</v>
      </c>
      <c r="E23" s="8" t="s">
        <v>1270</v>
      </c>
      <c r="F23" s="9">
        <v>170.0</v>
      </c>
      <c r="G23" s="8" t="s">
        <v>1235</v>
      </c>
      <c r="H23" s="8" t="s">
        <v>1574</v>
      </c>
      <c r="I23" s="8" t="s">
        <v>1575</v>
      </c>
      <c r="J23" s="8" t="s">
        <v>1561</v>
      </c>
      <c r="K23" s="8" t="s">
        <v>1569</v>
      </c>
      <c r="L23" s="9">
        <v>110.0</v>
      </c>
      <c r="M23" s="10">
        <v>505.0</v>
      </c>
      <c r="N23" s="11">
        <v>5.2</v>
      </c>
      <c r="O23" s="8" t="s">
        <v>1576</v>
      </c>
      <c r="P23" s="9">
        <v>4.0</v>
      </c>
      <c r="Q23" s="9">
        <v>550.0</v>
      </c>
      <c r="R23" s="11">
        <v>16.0</v>
      </c>
      <c r="S23" s="9">
        <v>26.0</v>
      </c>
      <c r="T23" s="11">
        <v>0.51</v>
      </c>
      <c r="U23" s="8" t="s">
        <v>1577</v>
      </c>
      <c r="V23" s="8" t="s">
        <v>1578</v>
      </c>
      <c r="W23" s="7" t="s">
        <v>1543</v>
      </c>
    </row>
    <row r="24" spans="8:8" ht="18.75" customHeight="1">
      <c r="A24" s="2" t="s">
        <v>1653</v>
      </c>
      <c r="B24" s="3" t="s">
        <v>1268</v>
      </c>
      <c r="C24" s="3" t="s">
        <v>104</v>
      </c>
      <c r="D24" s="3" t="s">
        <v>1647</v>
      </c>
      <c r="E24" s="3" t="s">
        <v>1270</v>
      </c>
      <c r="F24" s="4">
        <v>170.0</v>
      </c>
      <c r="G24" s="3" t="s">
        <v>1235</v>
      </c>
      <c r="H24" s="3" t="s">
        <v>1580</v>
      </c>
      <c r="I24" s="3" t="s">
        <v>1581</v>
      </c>
      <c r="J24" s="3" t="s">
        <v>1547</v>
      </c>
      <c r="K24" s="3" t="s">
        <v>1539</v>
      </c>
      <c r="L24" s="4">
        <v>160.0</v>
      </c>
      <c r="M24" s="5">
        <v>554.0</v>
      </c>
      <c r="N24" s="6">
        <v>4.8</v>
      </c>
      <c r="O24" s="3" t="s">
        <v>1582</v>
      </c>
      <c r="P24" s="4">
        <v>3.0</v>
      </c>
      <c r="Q24" s="4">
        <v>600.0</v>
      </c>
      <c r="R24" s="6">
        <v>20.0</v>
      </c>
      <c r="S24" s="4">
        <v>18.0</v>
      </c>
      <c r="T24" s="6">
        <v>0.32</v>
      </c>
      <c r="U24" s="3" t="s">
        <v>1583</v>
      </c>
      <c r="V24" s="3" t="s">
        <v>1584</v>
      </c>
      <c r="W24" s="2" t="s">
        <v>1543</v>
      </c>
    </row>
    <row r="25" spans="8:8" ht="18.75" customHeight="1">
      <c r="A25" s="7" t="s">
        <v>1654</v>
      </c>
      <c r="B25" s="8" t="s">
        <v>1268</v>
      </c>
      <c r="C25" s="8" t="s">
        <v>104</v>
      </c>
      <c r="D25" s="8" t="s">
        <v>1647</v>
      </c>
      <c r="E25" s="8" t="s">
        <v>1270</v>
      </c>
      <c r="F25" s="9">
        <v>170.0</v>
      </c>
      <c r="G25" s="8" t="s">
        <v>1235</v>
      </c>
      <c r="H25" s="8" t="s">
        <v>1586</v>
      </c>
      <c r="I25" s="8" t="s">
        <v>1587</v>
      </c>
      <c r="J25" s="8" t="s">
        <v>1568</v>
      </c>
      <c r="K25" s="8" t="s">
        <v>1548</v>
      </c>
      <c r="L25" s="9">
        <v>120.0</v>
      </c>
      <c r="M25" s="10">
        <v>475.0</v>
      </c>
      <c r="N25" s="11">
        <v>4.6</v>
      </c>
      <c r="O25" s="8" t="s">
        <v>1588</v>
      </c>
      <c r="P25" s="9">
        <v>5.0</v>
      </c>
      <c r="Q25" s="9">
        <v>500.0</v>
      </c>
      <c r="R25" s="11">
        <v>18.0</v>
      </c>
      <c r="S25" s="9">
        <v>48.0</v>
      </c>
      <c r="T25" s="11">
        <v>1.0</v>
      </c>
      <c r="U25" s="8" t="s">
        <v>1589</v>
      </c>
      <c r="V25" s="8" t="s">
        <v>1590</v>
      </c>
      <c r="W25" s="7" t="s">
        <v>1543</v>
      </c>
    </row>
    <row r="26" spans="8:8" ht="18.75" customHeight="1">
      <c r="A26" s="2" t="s">
        <v>1655</v>
      </c>
      <c r="B26" s="3" t="s">
        <v>1268</v>
      </c>
      <c r="C26" s="3" t="s">
        <v>104</v>
      </c>
      <c r="D26" s="3" t="s">
        <v>1647</v>
      </c>
      <c r="E26" s="3" t="s">
        <v>1270</v>
      </c>
      <c r="F26" s="4">
        <v>170.0</v>
      </c>
      <c r="G26" s="3" t="s">
        <v>1246</v>
      </c>
      <c r="H26" s="3" t="s">
        <v>1592</v>
      </c>
      <c r="I26" s="3" t="s">
        <v>1593</v>
      </c>
      <c r="J26" s="3" t="s">
        <v>1568</v>
      </c>
      <c r="K26" s="3" t="s">
        <v>1569</v>
      </c>
      <c r="L26" s="4">
        <v>125.0</v>
      </c>
      <c r="M26" s="5">
        <v>911.0</v>
      </c>
      <c r="N26" s="6">
        <v>7.8</v>
      </c>
      <c r="O26" s="3" t="s">
        <v>1594</v>
      </c>
      <c r="P26" s="4">
        <v>12.0</v>
      </c>
      <c r="Q26" s="4">
        <v>950.0</v>
      </c>
      <c r="R26" s="6">
        <v>10.0</v>
      </c>
      <c r="S26" s="4">
        <v>64.0</v>
      </c>
      <c r="T26" s="6">
        <v>0.7</v>
      </c>
      <c r="U26" s="3" t="s">
        <v>1595</v>
      </c>
      <c r="V26" s="3" t="s">
        <v>1590</v>
      </c>
      <c r="W26" s="2" t="s">
        <v>1543</v>
      </c>
    </row>
    <row r="27" spans="8:8" ht="18.75" customHeight="1">
      <c r="A27" s="7" t="s">
        <v>1656</v>
      </c>
      <c r="B27" s="8" t="s">
        <v>1268</v>
      </c>
      <c r="C27" s="8" t="s">
        <v>104</v>
      </c>
      <c r="D27" s="8" t="s">
        <v>1647</v>
      </c>
      <c r="E27" s="8" t="s">
        <v>1270</v>
      </c>
      <c r="F27" s="9">
        <v>170.0</v>
      </c>
      <c r="G27" s="8" t="s">
        <v>1246</v>
      </c>
      <c r="H27" s="8" t="s">
        <v>1597</v>
      </c>
      <c r="I27" s="8" t="s">
        <v>1598</v>
      </c>
      <c r="J27" s="8" t="s">
        <v>1599</v>
      </c>
      <c r="K27" s="8" t="s">
        <v>1539</v>
      </c>
      <c r="L27" s="9">
        <v>165.0</v>
      </c>
      <c r="M27" s="10">
        <v>772.0</v>
      </c>
      <c r="N27" s="11">
        <v>6.4</v>
      </c>
      <c r="O27" s="8" t="s">
        <v>1600</v>
      </c>
      <c r="P27" s="9">
        <v>6.0</v>
      </c>
      <c r="Q27" s="9">
        <v>750.0</v>
      </c>
      <c r="R27" s="11">
        <v>14.0</v>
      </c>
      <c r="S27" s="9">
        <v>28.0</v>
      </c>
      <c r="T27" s="11">
        <v>0.36</v>
      </c>
      <c r="U27" s="8" t="s">
        <v>1601</v>
      </c>
      <c r="V27" s="8" t="s">
        <v>1602</v>
      </c>
      <c r="W27" s="7" t="s">
        <v>1543</v>
      </c>
    </row>
    <row r="28" spans="8:8" ht="18.75" customHeight="1">
      <c r="A28" s="2" t="s">
        <v>1657</v>
      </c>
      <c r="B28" s="3" t="s">
        <v>1268</v>
      </c>
      <c r="C28" s="3" t="s">
        <v>104</v>
      </c>
      <c r="D28" s="3" t="s">
        <v>1647</v>
      </c>
      <c r="E28" s="3" t="s">
        <v>1270</v>
      </c>
      <c r="F28" s="4">
        <v>170.0</v>
      </c>
      <c r="G28" s="3" t="s">
        <v>1246</v>
      </c>
      <c r="H28" s="3" t="s">
        <v>1604</v>
      </c>
      <c r="I28" s="3" t="s">
        <v>1605</v>
      </c>
      <c r="J28" s="3" t="s">
        <v>1606</v>
      </c>
      <c r="K28" s="3" t="s">
        <v>1569</v>
      </c>
      <c r="L28" s="4">
        <v>160.0</v>
      </c>
      <c r="M28" s="5">
        <v>812.0</v>
      </c>
      <c r="N28" s="6">
        <v>6.2</v>
      </c>
      <c r="O28" s="3" t="s">
        <v>1607</v>
      </c>
      <c r="P28" s="4">
        <v>8.0</v>
      </c>
      <c r="Q28" s="4">
        <v>800.0</v>
      </c>
      <c r="R28" s="6">
        <v>12.0</v>
      </c>
      <c r="S28" s="4">
        <v>35.0</v>
      </c>
      <c r="T28" s="6">
        <v>0.43</v>
      </c>
      <c r="U28" s="3" t="s">
        <v>1608</v>
      </c>
      <c r="V28" s="3" t="s">
        <v>1609</v>
      </c>
      <c r="W28" s="2" t="s">
        <v>1543</v>
      </c>
    </row>
    <row r="29" spans="8:8" ht="18.75" customHeight="1">
      <c r="A29" s="7" t="s">
        <v>1658</v>
      </c>
      <c r="B29" s="8" t="s">
        <v>1268</v>
      </c>
      <c r="C29" s="8" t="s">
        <v>104</v>
      </c>
      <c r="D29" s="8" t="s">
        <v>1647</v>
      </c>
      <c r="E29" s="8" t="s">
        <v>1270</v>
      </c>
      <c r="F29" s="9">
        <v>170.0</v>
      </c>
      <c r="G29" s="8" t="s">
        <v>1246</v>
      </c>
      <c r="H29" s="8" t="s">
        <v>1611</v>
      </c>
      <c r="I29" s="8" t="s">
        <v>1612</v>
      </c>
      <c r="J29" s="8" t="s">
        <v>1606</v>
      </c>
      <c r="K29" s="8" t="s">
        <v>1613</v>
      </c>
      <c r="L29" s="9">
        <v>250.0</v>
      </c>
      <c r="M29" s="10">
        <v>1040.0</v>
      </c>
      <c r="N29" s="11">
        <v>5.9</v>
      </c>
      <c r="O29" s="8" t="s">
        <v>1614</v>
      </c>
      <c r="P29" s="9">
        <v>14.0</v>
      </c>
      <c r="Q29" s="9">
        <v>1000.0</v>
      </c>
      <c r="R29" s="11">
        <v>10.0</v>
      </c>
      <c r="S29" s="9">
        <v>55.0</v>
      </c>
      <c r="T29" s="11">
        <v>0.52</v>
      </c>
      <c r="U29" s="8" t="s">
        <v>1615</v>
      </c>
      <c r="V29" s="8" t="s">
        <v>1616</v>
      </c>
      <c r="W29" s="7" t="s">
        <v>1543</v>
      </c>
    </row>
    <row r="30" spans="8:8" ht="18.75" customHeight="1">
      <c r="A30" s="2" t="s">
        <v>1659</v>
      </c>
      <c r="B30" s="3" t="s">
        <v>1268</v>
      </c>
      <c r="C30" s="3" t="s">
        <v>104</v>
      </c>
      <c r="D30" s="3" t="s">
        <v>1647</v>
      </c>
      <c r="E30" s="3" t="s">
        <v>1270</v>
      </c>
      <c r="F30" s="4">
        <v>170.0</v>
      </c>
      <c r="G30" s="3" t="s">
        <v>1257</v>
      </c>
      <c r="H30" s="3" t="s">
        <v>1618</v>
      </c>
      <c r="I30" s="3" t="s">
        <v>1619</v>
      </c>
      <c r="J30" s="3" t="s">
        <v>1599</v>
      </c>
      <c r="K30" s="3" t="s">
        <v>1620</v>
      </c>
      <c r="L30" s="4">
        <v>360.0</v>
      </c>
      <c r="M30" s="5">
        <v>1634.0</v>
      </c>
      <c r="N30" s="6">
        <v>8.5</v>
      </c>
      <c r="O30" s="3" t="s">
        <v>1621</v>
      </c>
      <c r="P30" s="4">
        <v>24.0</v>
      </c>
      <c r="Q30" s="4">
        <v>1350.0</v>
      </c>
      <c r="R30" s="6">
        <v>6.0</v>
      </c>
      <c r="S30" s="4">
        <v>1050.0</v>
      </c>
      <c r="T30" s="6">
        <v>6.36</v>
      </c>
      <c r="U30" s="3" t="s">
        <v>1622</v>
      </c>
      <c r="V30" s="3" t="s">
        <v>1623</v>
      </c>
      <c r="W30" s="2" t="s">
        <v>1543</v>
      </c>
    </row>
    <row r="31" spans="8:8" ht="18.75" customHeight="1">
      <c r="A31" s="7" t="s">
        <v>1660</v>
      </c>
      <c r="B31" s="8" t="s">
        <v>1268</v>
      </c>
      <c r="C31" s="8" t="s">
        <v>104</v>
      </c>
      <c r="D31" s="8" t="s">
        <v>1647</v>
      </c>
      <c r="E31" s="8" t="s">
        <v>1270</v>
      </c>
      <c r="F31" s="9">
        <v>170.0</v>
      </c>
      <c r="G31" s="8" t="s">
        <v>1257</v>
      </c>
      <c r="H31" s="8" t="s">
        <v>1625</v>
      </c>
      <c r="I31" s="8" t="s">
        <v>1626</v>
      </c>
      <c r="J31" s="8" t="s">
        <v>1627</v>
      </c>
      <c r="K31" s="8" t="s">
        <v>1628</v>
      </c>
      <c r="L31" s="9">
        <v>340.0</v>
      </c>
      <c r="M31" s="10">
        <v>1505.0</v>
      </c>
      <c r="N31" s="11">
        <v>8.2</v>
      </c>
      <c r="O31" s="8" t="s">
        <v>1629</v>
      </c>
      <c r="P31" s="9">
        <v>30.0</v>
      </c>
      <c r="Q31" s="9">
        <v>1300.0</v>
      </c>
      <c r="R31" s="11">
        <v>6.5</v>
      </c>
      <c r="S31" s="9">
        <v>650.0</v>
      </c>
      <c r="T31" s="11">
        <v>4.28</v>
      </c>
      <c r="U31" s="8" t="s">
        <v>1630</v>
      </c>
      <c r="V31" s="8" t="s">
        <v>1631</v>
      </c>
      <c r="W31" s="7" t="s">
        <v>1543</v>
      </c>
    </row>
    <row r="32" spans="8:8" ht="18.75" customHeight="1">
      <c r="A32" s="2" t="s">
        <v>1661</v>
      </c>
      <c r="B32" s="3" t="s">
        <v>1268</v>
      </c>
      <c r="C32" s="3" t="s">
        <v>104</v>
      </c>
      <c r="D32" s="3" t="s">
        <v>1647</v>
      </c>
      <c r="E32" s="3" t="s">
        <v>1270</v>
      </c>
      <c r="F32" s="4">
        <v>170.0</v>
      </c>
      <c r="G32" s="3" t="s">
        <v>1257</v>
      </c>
      <c r="H32" s="3" t="s">
        <v>1633</v>
      </c>
      <c r="I32" s="3" t="s">
        <v>1593</v>
      </c>
      <c r="J32" s="3" t="s">
        <v>1568</v>
      </c>
      <c r="K32" s="3" t="s">
        <v>1634</v>
      </c>
      <c r="L32" s="4">
        <v>240.0</v>
      </c>
      <c r="M32" s="5">
        <v>1832.0</v>
      </c>
      <c r="N32" s="6">
        <v>9.0</v>
      </c>
      <c r="O32" s="3" t="s">
        <v>1635</v>
      </c>
      <c r="P32" s="4">
        <v>28.0</v>
      </c>
      <c r="Q32" s="4">
        <v>1500.0</v>
      </c>
      <c r="R32" s="6">
        <v>4.5</v>
      </c>
      <c r="S32" s="4">
        <v>120.0</v>
      </c>
      <c r="T32" s="6">
        <v>0.65</v>
      </c>
      <c r="U32" s="3" t="s">
        <v>1636</v>
      </c>
      <c r="V32" s="3" t="s">
        <v>1637</v>
      </c>
      <c r="W32" s="2" t="s">
        <v>1543</v>
      </c>
    </row>
    <row r="33" spans="8:8" ht="18.75" customHeight="1">
      <c r="A33" s="7" t="s">
        <v>1662</v>
      </c>
      <c r="B33" s="8" t="s">
        <v>1268</v>
      </c>
      <c r="C33" s="8" t="s">
        <v>104</v>
      </c>
      <c r="D33" s="8" t="s">
        <v>1647</v>
      </c>
      <c r="E33" s="8" t="s">
        <v>1270</v>
      </c>
      <c r="F33" s="9">
        <v>170.0</v>
      </c>
      <c r="G33" s="8" t="s">
        <v>1257</v>
      </c>
      <c r="H33" s="8" t="s">
        <v>1639</v>
      </c>
      <c r="I33" s="8" t="s">
        <v>1640</v>
      </c>
      <c r="J33" s="8" t="s">
        <v>1641</v>
      </c>
      <c r="K33" s="8" t="s">
        <v>1642</v>
      </c>
      <c r="L33" s="9">
        <v>365.0</v>
      </c>
      <c r="M33" s="10">
        <v>1465.0</v>
      </c>
      <c r="N33" s="11">
        <v>7.2</v>
      </c>
      <c r="O33" s="8" t="s">
        <v>1643</v>
      </c>
      <c r="P33" s="9">
        <v>22.0</v>
      </c>
      <c r="Q33" s="9">
        <v>1400.0</v>
      </c>
      <c r="R33" s="11">
        <v>6.0</v>
      </c>
      <c r="S33" s="9">
        <v>140.0</v>
      </c>
      <c r="T33" s="11">
        <v>0.95</v>
      </c>
      <c r="U33" s="8" t="s">
        <v>1644</v>
      </c>
      <c r="V33" s="8" t="s">
        <v>1645</v>
      </c>
      <c r="W33" s="7" t="s">
        <v>1543</v>
      </c>
    </row>
    <row r="34" spans="8:8" ht="18.75" customHeight="1">
      <c r="A34" s="2" t="s">
        <v>1663</v>
      </c>
      <c r="B34" s="3" t="s">
        <v>1292</v>
      </c>
      <c r="C34" s="3" t="s">
        <v>404</v>
      </c>
      <c r="D34" s="3" t="s">
        <v>1664</v>
      </c>
      <c r="E34" s="3" t="s">
        <v>1294</v>
      </c>
      <c r="F34" s="4">
        <v>120.0</v>
      </c>
      <c r="G34" s="3" t="s">
        <v>1222</v>
      </c>
      <c r="H34" s="3" t="s">
        <v>1536</v>
      </c>
      <c r="I34" s="3" t="s">
        <v>1537</v>
      </c>
      <c r="J34" s="3" t="s">
        <v>1538</v>
      </c>
      <c r="K34" s="3" t="s">
        <v>1539</v>
      </c>
      <c r="L34" s="4">
        <v>80.0</v>
      </c>
      <c r="M34" s="5">
        <v>326.0</v>
      </c>
      <c r="N34" s="6">
        <v>4.2</v>
      </c>
      <c r="O34" s="3" t="s">
        <v>1540</v>
      </c>
      <c r="P34" s="4">
        <v>1.0</v>
      </c>
      <c r="Q34" s="4">
        <v>280.0</v>
      </c>
      <c r="R34" s="6">
        <v>35.0</v>
      </c>
      <c r="S34" s="4">
        <v>24.0</v>
      </c>
      <c r="T34" s="6">
        <v>0.77</v>
      </c>
      <c r="U34" s="3" t="s">
        <v>1541</v>
      </c>
      <c r="V34" s="3" t="s">
        <v>1542</v>
      </c>
      <c r="W34" s="2" t="s">
        <v>1543</v>
      </c>
    </row>
    <row r="35" spans="8:8" ht="18.75" customHeight="1">
      <c r="A35" s="7" t="s">
        <v>1665</v>
      </c>
      <c r="B35" s="8" t="s">
        <v>1292</v>
      </c>
      <c r="C35" s="8" t="s">
        <v>404</v>
      </c>
      <c r="D35" s="8" t="s">
        <v>1664</v>
      </c>
      <c r="E35" s="8" t="s">
        <v>1294</v>
      </c>
      <c r="F35" s="9">
        <v>120.0</v>
      </c>
      <c r="G35" s="8" t="s">
        <v>1222</v>
      </c>
      <c r="H35" s="8" t="s">
        <v>1545</v>
      </c>
      <c r="I35" s="8" t="s">
        <v>1546</v>
      </c>
      <c r="J35" s="8" t="s">
        <v>1547</v>
      </c>
      <c r="K35" s="8" t="s">
        <v>1548</v>
      </c>
      <c r="L35" s="9">
        <v>105.0</v>
      </c>
      <c r="M35" s="10">
        <v>357.0</v>
      </c>
      <c r="N35" s="11">
        <v>3.8</v>
      </c>
      <c r="O35" s="8" t="s">
        <v>1549</v>
      </c>
      <c r="P35" s="9">
        <v>2.0</v>
      </c>
      <c r="Q35" s="9">
        <v>350.0</v>
      </c>
      <c r="R35" s="11">
        <v>28.0</v>
      </c>
      <c r="S35" s="9">
        <v>20.0</v>
      </c>
      <c r="T35" s="11">
        <v>0.59</v>
      </c>
      <c r="U35" s="8" t="s">
        <v>1550</v>
      </c>
      <c r="V35" s="8" t="s">
        <v>1551</v>
      </c>
      <c r="W35" s="7" t="s">
        <v>1543</v>
      </c>
    </row>
    <row r="36" spans="8:8" ht="18.75" customHeight="1">
      <c r="A36" s="2" t="s">
        <v>1666</v>
      </c>
      <c r="B36" s="3" t="s">
        <v>1292</v>
      </c>
      <c r="C36" s="3" t="s">
        <v>404</v>
      </c>
      <c r="D36" s="3" t="s">
        <v>1664</v>
      </c>
      <c r="E36" s="3" t="s">
        <v>1294</v>
      </c>
      <c r="F36" s="4">
        <v>120.0</v>
      </c>
      <c r="G36" s="3" t="s">
        <v>1222</v>
      </c>
      <c r="H36" s="3" t="s">
        <v>1553</v>
      </c>
      <c r="I36" s="3" t="s">
        <v>1554</v>
      </c>
      <c r="J36" s="3" t="s">
        <v>1538</v>
      </c>
      <c r="K36" s="3" t="s">
        <v>1539</v>
      </c>
      <c r="L36" s="4">
        <v>75.0</v>
      </c>
      <c r="M36" s="5">
        <v>289.0</v>
      </c>
      <c r="N36" s="6">
        <v>3.9</v>
      </c>
      <c r="O36" s="3" t="s">
        <v>1555</v>
      </c>
      <c r="P36" s="4">
        <v>1.0</v>
      </c>
      <c r="Q36" s="4">
        <v>250.0</v>
      </c>
      <c r="R36" s="6">
        <v>38.0</v>
      </c>
      <c r="S36" s="4">
        <v>18.0</v>
      </c>
      <c r="T36" s="6">
        <v>0.65</v>
      </c>
      <c r="U36" s="3" t="s">
        <v>1556</v>
      </c>
      <c r="V36" s="3" t="s">
        <v>1557</v>
      </c>
      <c r="W36" s="2" t="s">
        <v>1543</v>
      </c>
    </row>
    <row r="37" spans="8:8" ht="18.75" customHeight="1">
      <c r="A37" s="7" t="s">
        <v>1667</v>
      </c>
      <c r="B37" s="8" t="s">
        <v>1292</v>
      </c>
      <c r="C37" s="8" t="s">
        <v>404</v>
      </c>
      <c r="D37" s="8" t="s">
        <v>1664</v>
      </c>
      <c r="E37" s="8" t="s">
        <v>1294</v>
      </c>
      <c r="F37" s="9">
        <v>120.0</v>
      </c>
      <c r="G37" s="8" t="s">
        <v>1222</v>
      </c>
      <c r="H37" s="8" t="s">
        <v>1559</v>
      </c>
      <c r="I37" s="8" t="s">
        <v>1560</v>
      </c>
      <c r="J37" s="8" t="s">
        <v>1561</v>
      </c>
      <c r="K37" s="8" t="s">
        <v>1548</v>
      </c>
      <c r="L37" s="9">
        <v>110.0</v>
      </c>
      <c r="M37" s="10">
        <v>378.0</v>
      </c>
      <c r="N37" s="11">
        <v>4.0</v>
      </c>
      <c r="O37" s="8" t="s">
        <v>1562</v>
      </c>
      <c r="P37" s="9">
        <v>2.0</v>
      </c>
      <c r="Q37" s="9">
        <v>380.0</v>
      </c>
      <c r="R37" s="11">
        <v>30.0</v>
      </c>
      <c r="S37" s="9">
        <v>19.0</v>
      </c>
      <c r="T37" s="11">
        <v>0.53</v>
      </c>
      <c r="U37" s="8" t="s">
        <v>1563</v>
      </c>
      <c r="V37" s="8" t="s">
        <v>1564</v>
      </c>
      <c r="W37" s="7" t="s">
        <v>1543</v>
      </c>
    </row>
    <row r="38" spans="8:8" ht="18.75" customHeight="1">
      <c r="A38" s="2" t="s">
        <v>1668</v>
      </c>
      <c r="B38" s="3" t="s">
        <v>1292</v>
      </c>
      <c r="C38" s="3" t="s">
        <v>404</v>
      </c>
      <c r="D38" s="3" t="s">
        <v>1664</v>
      </c>
      <c r="E38" s="3" t="s">
        <v>1294</v>
      </c>
      <c r="F38" s="4">
        <v>120.0</v>
      </c>
      <c r="G38" s="3" t="s">
        <v>1235</v>
      </c>
      <c r="H38" s="3" t="s">
        <v>1566</v>
      </c>
      <c r="I38" s="3" t="s">
        <v>1567</v>
      </c>
      <c r="J38" s="3" t="s">
        <v>1568</v>
      </c>
      <c r="K38" s="3" t="s">
        <v>1569</v>
      </c>
      <c r="L38" s="4">
        <v>105.0</v>
      </c>
      <c r="M38" s="5">
        <v>567.0</v>
      </c>
      <c r="N38" s="6">
        <v>5.8</v>
      </c>
      <c r="O38" s="3" t="s">
        <v>1570</v>
      </c>
      <c r="P38" s="4">
        <v>4.0</v>
      </c>
      <c r="Q38" s="4">
        <v>580.0</v>
      </c>
      <c r="R38" s="6">
        <v>18.0</v>
      </c>
      <c r="S38" s="4">
        <v>62.0</v>
      </c>
      <c r="T38" s="6">
        <v>1.15</v>
      </c>
      <c r="U38" s="3" t="s">
        <v>1571</v>
      </c>
      <c r="V38" s="3" t="s">
        <v>1572</v>
      </c>
      <c r="W38" s="2" t="s">
        <v>1543</v>
      </c>
    </row>
    <row r="39" spans="8:8" ht="18.75" customHeight="1">
      <c r="A39" s="7" t="s">
        <v>1669</v>
      </c>
      <c r="B39" s="8" t="s">
        <v>1292</v>
      </c>
      <c r="C39" s="8" t="s">
        <v>404</v>
      </c>
      <c r="D39" s="8" t="s">
        <v>1664</v>
      </c>
      <c r="E39" s="8" t="s">
        <v>1294</v>
      </c>
      <c r="F39" s="9">
        <v>120.0</v>
      </c>
      <c r="G39" s="8" t="s">
        <v>1235</v>
      </c>
      <c r="H39" s="8" t="s">
        <v>1574</v>
      </c>
      <c r="I39" s="8" t="s">
        <v>1575</v>
      </c>
      <c r="J39" s="8" t="s">
        <v>1561</v>
      </c>
      <c r="K39" s="8" t="s">
        <v>1569</v>
      </c>
      <c r="L39" s="9">
        <v>110.0</v>
      </c>
      <c r="M39" s="10">
        <v>536.0</v>
      </c>
      <c r="N39" s="11">
        <v>5.2</v>
      </c>
      <c r="O39" s="8" t="s">
        <v>1576</v>
      </c>
      <c r="P39" s="9">
        <v>4.0</v>
      </c>
      <c r="Q39" s="9">
        <v>550.0</v>
      </c>
      <c r="R39" s="11">
        <v>16.0</v>
      </c>
      <c r="S39" s="9">
        <v>26.0</v>
      </c>
      <c r="T39" s="11">
        <v>0.51</v>
      </c>
      <c r="U39" s="8" t="s">
        <v>1577</v>
      </c>
      <c r="V39" s="8" t="s">
        <v>1578</v>
      </c>
      <c r="W39" s="7" t="s">
        <v>1543</v>
      </c>
    </row>
    <row r="40" spans="8:8" ht="18.75" customHeight="1">
      <c r="A40" s="2" t="s">
        <v>1670</v>
      </c>
      <c r="B40" s="3" t="s">
        <v>1292</v>
      </c>
      <c r="C40" s="3" t="s">
        <v>404</v>
      </c>
      <c r="D40" s="3" t="s">
        <v>1664</v>
      </c>
      <c r="E40" s="3" t="s">
        <v>1294</v>
      </c>
      <c r="F40" s="4">
        <v>120.0</v>
      </c>
      <c r="G40" s="3" t="s">
        <v>1235</v>
      </c>
      <c r="H40" s="3" t="s">
        <v>1580</v>
      </c>
      <c r="I40" s="3" t="s">
        <v>1581</v>
      </c>
      <c r="J40" s="3" t="s">
        <v>1547</v>
      </c>
      <c r="K40" s="3" t="s">
        <v>1539</v>
      </c>
      <c r="L40" s="4">
        <v>160.0</v>
      </c>
      <c r="M40" s="5">
        <v>588.0</v>
      </c>
      <c r="N40" s="6">
        <v>4.8</v>
      </c>
      <c r="O40" s="3" t="s">
        <v>1582</v>
      </c>
      <c r="P40" s="4">
        <v>3.0</v>
      </c>
      <c r="Q40" s="4">
        <v>600.0</v>
      </c>
      <c r="R40" s="6">
        <v>20.0</v>
      </c>
      <c r="S40" s="4">
        <v>18.0</v>
      </c>
      <c r="T40" s="6">
        <v>0.32</v>
      </c>
      <c r="U40" s="3" t="s">
        <v>1583</v>
      </c>
      <c r="V40" s="3" t="s">
        <v>1584</v>
      </c>
      <c r="W40" s="2" t="s">
        <v>1543</v>
      </c>
    </row>
    <row r="41" spans="8:8" ht="18.75" customHeight="1">
      <c r="A41" s="7" t="s">
        <v>1671</v>
      </c>
      <c r="B41" s="8" t="s">
        <v>1292</v>
      </c>
      <c r="C41" s="8" t="s">
        <v>404</v>
      </c>
      <c r="D41" s="8" t="s">
        <v>1664</v>
      </c>
      <c r="E41" s="8" t="s">
        <v>1294</v>
      </c>
      <c r="F41" s="9">
        <v>120.0</v>
      </c>
      <c r="G41" s="8" t="s">
        <v>1235</v>
      </c>
      <c r="H41" s="8" t="s">
        <v>1586</v>
      </c>
      <c r="I41" s="8" t="s">
        <v>1587</v>
      </c>
      <c r="J41" s="8" t="s">
        <v>1568</v>
      </c>
      <c r="K41" s="8" t="s">
        <v>1548</v>
      </c>
      <c r="L41" s="9">
        <v>120.0</v>
      </c>
      <c r="M41" s="10">
        <v>504.0</v>
      </c>
      <c r="N41" s="11">
        <v>4.6</v>
      </c>
      <c r="O41" s="8" t="s">
        <v>1588</v>
      </c>
      <c r="P41" s="9">
        <v>5.0</v>
      </c>
      <c r="Q41" s="9">
        <v>500.0</v>
      </c>
      <c r="R41" s="11">
        <v>18.0</v>
      </c>
      <c r="S41" s="9">
        <v>48.0</v>
      </c>
      <c r="T41" s="11">
        <v>1.0</v>
      </c>
      <c r="U41" s="8" t="s">
        <v>1589</v>
      </c>
      <c r="V41" s="8" t="s">
        <v>1590</v>
      </c>
      <c r="W41" s="7" t="s">
        <v>1543</v>
      </c>
    </row>
    <row r="42" spans="8:8" ht="18.75" customHeight="1">
      <c r="A42" s="2" t="s">
        <v>1672</v>
      </c>
      <c r="B42" s="3" t="s">
        <v>1292</v>
      </c>
      <c r="C42" s="3" t="s">
        <v>404</v>
      </c>
      <c r="D42" s="3" t="s">
        <v>1664</v>
      </c>
      <c r="E42" s="3" t="s">
        <v>1294</v>
      </c>
      <c r="F42" s="4">
        <v>120.0</v>
      </c>
      <c r="G42" s="3" t="s">
        <v>1246</v>
      </c>
      <c r="H42" s="3" t="s">
        <v>1592</v>
      </c>
      <c r="I42" s="3" t="s">
        <v>1593</v>
      </c>
      <c r="J42" s="3" t="s">
        <v>1568</v>
      </c>
      <c r="K42" s="3" t="s">
        <v>1569</v>
      </c>
      <c r="L42" s="4">
        <v>125.0</v>
      </c>
      <c r="M42" s="5">
        <v>966.0</v>
      </c>
      <c r="N42" s="6">
        <v>7.8</v>
      </c>
      <c r="O42" s="3" t="s">
        <v>1594</v>
      </c>
      <c r="P42" s="4">
        <v>13.0</v>
      </c>
      <c r="Q42" s="4">
        <v>950.0</v>
      </c>
      <c r="R42" s="6">
        <v>10.0</v>
      </c>
      <c r="S42" s="4">
        <v>64.0</v>
      </c>
      <c r="T42" s="6">
        <v>0.7</v>
      </c>
      <c r="U42" s="3" t="s">
        <v>1595</v>
      </c>
      <c r="V42" s="3" t="s">
        <v>1590</v>
      </c>
      <c r="W42" s="2" t="s">
        <v>1543</v>
      </c>
    </row>
    <row r="43" spans="8:8" ht="18.75" customHeight="1">
      <c r="A43" s="7" t="s">
        <v>1673</v>
      </c>
      <c r="B43" s="8" t="s">
        <v>1292</v>
      </c>
      <c r="C43" s="8" t="s">
        <v>404</v>
      </c>
      <c r="D43" s="8" t="s">
        <v>1664</v>
      </c>
      <c r="E43" s="8" t="s">
        <v>1294</v>
      </c>
      <c r="F43" s="9">
        <v>120.0</v>
      </c>
      <c r="G43" s="8" t="s">
        <v>1246</v>
      </c>
      <c r="H43" s="8" t="s">
        <v>1597</v>
      </c>
      <c r="I43" s="8" t="s">
        <v>1598</v>
      </c>
      <c r="J43" s="8" t="s">
        <v>1599</v>
      </c>
      <c r="K43" s="8" t="s">
        <v>1539</v>
      </c>
      <c r="L43" s="9">
        <v>165.0</v>
      </c>
      <c r="M43" s="10">
        <v>819.0</v>
      </c>
      <c r="N43" s="11">
        <v>6.4</v>
      </c>
      <c r="O43" s="8" t="s">
        <v>1600</v>
      </c>
      <c r="P43" s="9">
        <v>6.0</v>
      </c>
      <c r="Q43" s="9">
        <v>750.0</v>
      </c>
      <c r="R43" s="11">
        <v>14.0</v>
      </c>
      <c r="S43" s="9">
        <v>28.0</v>
      </c>
      <c r="T43" s="11">
        <v>0.36</v>
      </c>
      <c r="U43" s="8" t="s">
        <v>1601</v>
      </c>
      <c r="V43" s="8" t="s">
        <v>1602</v>
      </c>
      <c r="W43" s="7" t="s">
        <v>1543</v>
      </c>
    </row>
    <row r="44" spans="8:8" ht="18.75" customHeight="1">
      <c r="A44" s="2" t="s">
        <v>1674</v>
      </c>
      <c r="B44" s="3" t="s">
        <v>1292</v>
      </c>
      <c r="C44" s="3" t="s">
        <v>404</v>
      </c>
      <c r="D44" s="3" t="s">
        <v>1664</v>
      </c>
      <c r="E44" s="3" t="s">
        <v>1294</v>
      </c>
      <c r="F44" s="4">
        <v>120.0</v>
      </c>
      <c r="G44" s="3" t="s">
        <v>1246</v>
      </c>
      <c r="H44" s="3" t="s">
        <v>1604</v>
      </c>
      <c r="I44" s="3" t="s">
        <v>1605</v>
      </c>
      <c r="J44" s="3" t="s">
        <v>1606</v>
      </c>
      <c r="K44" s="3" t="s">
        <v>1569</v>
      </c>
      <c r="L44" s="4">
        <v>160.0</v>
      </c>
      <c r="M44" s="5">
        <v>861.0</v>
      </c>
      <c r="N44" s="6">
        <v>6.2</v>
      </c>
      <c r="O44" s="3" t="s">
        <v>1607</v>
      </c>
      <c r="P44" s="4">
        <v>8.0</v>
      </c>
      <c r="Q44" s="4">
        <v>800.0</v>
      </c>
      <c r="R44" s="6">
        <v>12.0</v>
      </c>
      <c r="S44" s="4">
        <v>35.0</v>
      </c>
      <c r="T44" s="6">
        <v>0.43</v>
      </c>
      <c r="U44" s="3" t="s">
        <v>1608</v>
      </c>
      <c r="V44" s="3" t="s">
        <v>1609</v>
      </c>
      <c r="W44" s="2" t="s">
        <v>1543</v>
      </c>
    </row>
    <row r="45" spans="8:8" ht="18.75" customHeight="1">
      <c r="A45" s="7" t="s">
        <v>1675</v>
      </c>
      <c r="B45" s="8" t="s">
        <v>1292</v>
      </c>
      <c r="C45" s="8" t="s">
        <v>404</v>
      </c>
      <c r="D45" s="8" t="s">
        <v>1664</v>
      </c>
      <c r="E45" s="8" t="s">
        <v>1294</v>
      </c>
      <c r="F45" s="9">
        <v>120.0</v>
      </c>
      <c r="G45" s="8" t="s">
        <v>1246</v>
      </c>
      <c r="H45" s="8" t="s">
        <v>1611</v>
      </c>
      <c r="I45" s="8" t="s">
        <v>1612</v>
      </c>
      <c r="J45" s="8" t="s">
        <v>1606</v>
      </c>
      <c r="K45" s="8" t="s">
        <v>1613</v>
      </c>
      <c r="L45" s="9">
        <v>250.0</v>
      </c>
      <c r="M45" s="10">
        <v>1102.0</v>
      </c>
      <c r="N45" s="11">
        <v>5.9</v>
      </c>
      <c r="O45" s="8" t="s">
        <v>1614</v>
      </c>
      <c r="P45" s="9">
        <v>15.0</v>
      </c>
      <c r="Q45" s="9">
        <v>1000.0</v>
      </c>
      <c r="R45" s="11">
        <v>10.0</v>
      </c>
      <c r="S45" s="9">
        <v>55.0</v>
      </c>
      <c r="T45" s="11">
        <v>0.52</v>
      </c>
      <c r="U45" s="8" t="s">
        <v>1615</v>
      </c>
      <c r="V45" s="8" t="s">
        <v>1616</v>
      </c>
      <c r="W45" s="7" t="s">
        <v>1543</v>
      </c>
    </row>
    <row r="46" spans="8:8" ht="18.75" customHeight="1">
      <c r="A46" s="2" t="s">
        <v>1676</v>
      </c>
      <c r="B46" s="3" t="s">
        <v>1292</v>
      </c>
      <c r="C46" s="3" t="s">
        <v>404</v>
      </c>
      <c r="D46" s="3" t="s">
        <v>1664</v>
      </c>
      <c r="E46" s="3" t="s">
        <v>1294</v>
      </c>
      <c r="F46" s="4">
        <v>120.0</v>
      </c>
      <c r="G46" s="3" t="s">
        <v>1257</v>
      </c>
      <c r="H46" s="3" t="s">
        <v>1618</v>
      </c>
      <c r="I46" s="3" t="s">
        <v>1619</v>
      </c>
      <c r="J46" s="3" t="s">
        <v>1599</v>
      </c>
      <c r="K46" s="3" t="s">
        <v>1620</v>
      </c>
      <c r="L46" s="4">
        <v>360.0</v>
      </c>
      <c r="M46" s="5">
        <v>1732.0</v>
      </c>
      <c r="N46" s="6">
        <v>8.5</v>
      </c>
      <c r="O46" s="3" t="s">
        <v>1621</v>
      </c>
      <c r="P46" s="4">
        <v>25.0</v>
      </c>
      <c r="Q46" s="4">
        <v>1350.0</v>
      </c>
      <c r="R46" s="6">
        <v>6.0</v>
      </c>
      <c r="S46" s="4">
        <v>1050.0</v>
      </c>
      <c r="T46" s="6">
        <v>6.36</v>
      </c>
      <c r="U46" s="3" t="s">
        <v>1622</v>
      </c>
      <c r="V46" s="3" t="s">
        <v>1623</v>
      </c>
      <c r="W46" s="2" t="s">
        <v>1543</v>
      </c>
    </row>
    <row r="47" spans="8:8" ht="18.75" customHeight="1">
      <c r="A47" s="7" t="s">
        <v>1677</v>
      </c>
      <c r="B47" s="8" t="s">
        <v>1292</v>
      </c>
      <c r="C47" s="8" t="s">
        <v>404</v>
      </c>
      <c r="D47" s="8" t="s">
        <v>1664</v>
      </c>
      <c r="E47" s="8" t="s">
        <v>1294</v>
      </c>
      <c r="F47" s="9">
        <v>120.0</v>
      </c>
      <c r="G47" s="8" t="s">
        <v>1257</v>
      </c>
      <c r="H47" s="8" t="s">
        <v>1625</v>
      </c>
      <c r="I47" s="8" t="s">
        <v>1626</v>
      </c>
      <c r="J47" s="8" t="s">
        <v>1627</v>
      </c>
      <c r="K47" s="8" t="s">
        <v>1628</v>
      </c>
      <c r="L47" s="9">
        <v>340.0</v>
      </c>
      <c r="M47" s="10">
        <v>1596.0</v>
      </c>
      <c r="N47" s="11">
        <v>8.2</v>
      </c>
      <c r="O47" s="8" t="s">
        <v>1629</v>
      </c>
      <c r="P47" s="9">
        <v>32.0</v>
      </c>
      <c r="Q47" s="9">
        <v>1300.0</v>
      </c>
      <c r="R47" s="11">
        <v>6.5</v>
      </c>
      <c r="S47" s="9">
        <v>650.0</v>
      </c>
      <c r="T47" s="11">
        <v>4.28</v>
      </c>
      <c r="U47" s="8" t="s">
        <v>1630</v>
      </c>
      <c r="V47" s="8" t="s">
        <v>1631</v>
      </c>
      <c r="W47" s="7" t="s">
        <v>1543</v>
      </c>
    </row>
    <row r="48" spans="8:8" ht="18.75" customHeight="1">
      <c r="A48" s="2" t="s">
        <v>1678</v>
      </c>
      <c r="B48" s="3" t="s">
        <v>1292</v>
      </c>
      <c r="C48" s="3" t="s">
        <v>404</v>
      </c>
      <c r="D48" s="3" t="s">
        <v>1664</v>
      </c>
      <c r="E48" s="3" t="s">
        <v>1294</v>
      </c>
      <c r="F48" s="4">
        <v>120.0</v>
      </c>
      <c r="G48" s="3" t="s">
        <v>1257</v>
      </c>
      <c r="H48" s="3" t="s">
        <v>1633</v>
      </c>
      <c r="I48" s="3" t="s">
        <v>1593</v>
      </c>
      <c r="J48" s="3" t="s">
        <v>1568</v>
      </c>
      <c r="K48" s="3" t="s">
        <v>1634</v>
      </c>
      <c r="L48" s="4">
        <v>240.0</v>
      </c>
      <c r="M48" s="5">
        <v>1942.0</v>
      </c>
      <c r="N48" s="6">
        <v>9.0</v>
      </c>
      <c r="O48" s="3" t="s">
        <v>1635</v>
      </c>
      <c r="P48" s="4">
        <v>29.0</v>
      </c>
      <c r="Q48" s="4">
        <v>1500.0</v>
      </c>
      <c r="R48" s="6">
        <v>4.5</v>
      </c>
      <c r="S48" s="4">
        <v>120.0</v>
      </c>
      <c r="T48" s="6">
        <v>0.65</v>
      </c>
      <c r="U48" s="3" t="s">
        <v>1636</v>
      </c>
      <c r="V48" s="3" t="s">
        <v>1637</v>
      </c>
      <c r="W48" s="2" t="s">
        <v>1543</v>
      </c>
    </row>
    <row r="49" spans="8:8" ht="18.75" customHeight="1">
      <c r="A49" s="7" t="s">
        <v>1679</v>
      </c>
      <c r="B49" s="8" t="s">
        <v>1292</v>
      </c>
      <c r="C49" s="8" t="s">
        <v>404</v>
      </c>
      <c r="D49" s="8" t="s">
        <v>1664</v>
      </c>
      <c r="E49" s="8" t="s">
        <v>1294</v>
      </c>
      <c r="F49" s="9">
        <v>120.0</v>
      </c>
      <c r="G49" s="8" t="s">
        <v>1257</v>
      </c>
      <c r="H49" s="8" t="s">
        <v>1639</v>
      </c>
      <c r="I49" s="8" t="s">
        <v>1640</v>
      </c>
      <c r="J49" s="8" t="s">
        <v>1641</v>
      </c>
      <c r="K49" s="8" t="s">
        <v>1642</v>
      </c>
      <c r="L49" s="9">
        <v>365.0</v>
      </c>
      <c r="M49" s="10">
        <v>1554.0</v>
      </c>
      <c r="N49" s="11">
        <v>7.2</v>
      </c>
      <c r="O49" s="8" t="s">
        <v>1643</v>
      </c>
      <c r="P49" s="9">
        <v>23.0</v>
      </c>
      <c r="Q49" s="9">
        <v>1400.0</v>
      </c>
      <c r="R49" s="11">
        <v>6.0</v>
      </c>
      <c r="S49" s="9">
        <v>140.0</v>
      </c>
      <c r="T49" s="11">
        <v>0.95</v>
      </c>
      <c r="U49" s="8" t="s">
        <v>1644</v>
      </c>
      <c r="V49" s="8" t="s">
        <v>1645</v>
      </c>
      <c r="W49" s="7" t="s">
        <v>1543</v>
      </c>
    </row>
    <row r="50" spans="8:8" ht="18.75" customHeight="1">
      <c r="A50" s="2" t="s">
        <v>1680</v>
      </c>
      <c r="B50" s="3" t="s">
        <v>1299</v>
      </c>
      <c r="C50" s="3" t="s">
        <v>305</v>
      </c>
      <c r="D50" s="3" t="s">
        <v>635</v>
      </c>
      <c r="E50" s="3" t="s">
        <v>1301</v>
      </c>
      <c r="F50" s="4">
        <v>115.0</v>
      </c>
      <c r="G50" s="3" t="s">
        <v>1222</v>
      </c>
      <c r="H50" s="3" t="s">
        <v>1536</v>
      </c>
      <c r="I50" s="3" t="s">
        <v>1537</v>
      </c>
      <c r="J50" s="3" t="s">
        <v>1538</v>
      </c>
      <c r="K50" s="3" t="s">
        <v>1539</v>
      </c>
      <c r="L50" s="4">
        <v>80.0</v>
      </c>
      <c r="M50" s="5">
        <v>329.0</v>
      </c>
      <c r="N50" s="6">
        <v>4.2</v>
      </c>
      <c r="O50" s="3" t="s">
        <v>1540</v>
      </c>
      <c r="P50" s="4">
        <v>1.0</v>
      </c>
      <c r="Q50" s="4">
        <v>280.0</v>
      </c>
      <c r="R50" s="6">
        <v>35.0</v>
      </c>
      <c r="S50" s="4">
        <v>24.0</v>
      </c>
      <c r="T50" s="6">
        <v>0.77</v>
      </c>
      <c r="U50" s="3" t="s">
        <v>1541</v>
      </c>
      <c r="V50" s="3" t="s">
        <v>1542</v>
      </c>
      <c r="W50" s="2" t="s">
        <v>1543</v>
      </c>
    </row>
    <row r="51" spans="8:8" ht="18.75" customHeight="1">
      <c r="A51" s="7" t="s">
        <v>1681</v>
      </c>
      <c r="B51" s="8" t="s">
        <v>1299</v>
      </c>
      <c r="C51" s="8" t="s">
        <v>305</v>
      </c>
      <c r="D51" s="8" t="s">
        <v>635</v>
      </c>
      <c r="E51" s="8" t="s">
        <v>1301</v>
      </c>
      <c r="F51" s="9">
        <v>115.0</v>
      </c>
      <c r="G51" s="8" t="s">
        <v>1222</v>
      </c>
      <c r="H51" s="8" t="s">
        <v>1545</v>
      </c>
      <c r="I51" s="8" t="s">
        <v>1546</v>
      </c>
      <c r="J51" s="8" t="s">
        <v>1547</v>
      </c>
      <c r="K51" s="8" t="s">
        <v>1548</v>
      </c>
      <c r="L51" s="9">
        <v>105.0</v>
      </c>
      <c r="M51" s="10">
        <v>360.0</v>
      </c>
      <c r="N51" s="11">
        <v>3.8</v>
      </c>
      <c r="O51" s="8" t="s">
        <v>1549</v>
      </c>
      <c r="P51" s="9">
        <v>2.0</v>
      </c>
      <c r="Q51" s="9">
        <v>350.0</v>
      </c>
      <c r="R51" s="11">
        <v>28.0</v>
      </c>
      <c r="S51" s="9">
        <v>20.0</v>
      </c>
      <c r="T51" s="11">
        <v>0.59</v>
      </c>
      <c r="U51" s="8" t="s">
        <v>1550</v>
      </c>
      <c r="V51" s="8" t="s">
        <v>1551</v>
      </c>
      <c r="W51" s="7" t="s">
        <v>1543</v>
      </c>
    </row>
    <row r="52" spans="8:8" ht="18.75" customHeight="1">
      <c r="A52" s="2" t="s">
        <v>1682</v>
      </c>
      <c r="B52" s="3" t="s">
        <v>1299</v>
      </c>
      <c r="C52" s="3" t="s">
        <v>305</v>
      </c>
      <c r="D52" s="3" t="s">
        <v>635</v>
      </c>
      <c r="E52" s="3" t="s">
        <v>1301</v>
      </c>
      <c r="F52" s="4">
        <v>115.0</v>
      </c>
      <c r="G52" s="3" t="s">
        <v>1222</v>
      </c>
      <c r="H52" s="3" t="s">
        <v>1553</v>
      </c>
      <c r="I52" s="3" t="s">
        <v>1554</v>
      </c>
      <c r="J52" s="3" t="s">
        <v>1538</v>
      </c>
      <c r="K52" s="3" t="s">
        <v>1539</v>
      </c>
      <c r="L52" s="4">
        <v>75.0</v>
      </c>
      <c r="M52" s="5">
        <v>292.0</v>
      </c>
      <c r="N52" s="6">
        <v>3.9</v>
      </c>
      <c r="O52" s="3" t="s">
        <v>1555</v>
      </c>
      <c r="P52" s="4">
        <v>1.0</v>
      </c>
      <c r="Q52" s="4">
        <v>250.0</v>
      </c>
      <c r="R52" s="6">
        <v>38.0</v>
      </c>
      <c r="S52" s="4">
        <v>18.0</v>
      </c>
      <c r="T52" s="6">
        <v>0.65</v>
      </c>
      <c r="U52" s="3" t="s">
        <v>1556</v>
      </c>
      <c r="V52" s="3" t="s">
        <v>1557</v>
      </c>
      <c r="W52" s="2" t="s">
        <v>1543</v>
      </c>
    </row>
    <row r="53" spans="8:8" ht="18.75" customHeight="1">
      <c r="A53" s="7" t="s">
        <v>1683</v>
      </c>
      <c r="B53" s="8" t="s">
        <v>1299</v>
      </c>
      <c r="C53" s="8" t="s">
        <v>305</v>
      </c>
      <c r="D53" s="8" t="s">
        <v>635</v>
      </c>
      <c r="E53" s="8" t="s">
        <v>1301</v>
      </c>
      <c r="F53" s="9">
        <v>115.0</v>
      </c>
      <c r="G53" s="8" t="s">
        <v>1222</v>
      </c>
      <c r="H53" s="8" t="s">
        <v>1559</v>
      </c>
      <c r="I53" s="8" t="s">
        <v>1560</v>
      </c>
      <c r="J53" s="8" t="s">
        <v>1561</v>
      </c>
      <c r="K53" s="8" t="s">
        <v>1548</v>
      </c>
      <c r="L53" s="9">
        <v>110.0</v>
      </c>
      <c r="M53" s="10">
        <v>382.0</v>
      </c>
      <c r="N53" s="11">
        <v>4.0</v>
      </c>
      <c r="O53" s="8" t="s">
        <v>1562</v>
      </c>
      <c r="P53" s="9">
        <v>2.0</v>
      </c>
      <c r="Q53" s="9">
        <v>380.0</v>
      </c>
      <c r="R53" s="11">
        <v>30.0</v>
      </c>
      <c r="S53" s="9">
        <v>19.0</v>
      </c>
      <c r="T53" s="11">
        <v>0.53</v>
      </c>
      <c r="U53" s="8" t="s">
        <v>1563</v>
      </c>
      <c r="V53" s="8" t="s">
        <v>1564</v>
      </c>
      <c r="W53" s="7" t="s">
        <v>1543</v>
      </c>
    </row>
    <row r="54" spans="8:8" ht="18.75" customHeight="1">
      <c r="A54" s="2" t="s">
        <v>1684</v>
      </c>
      <c r="B54" s="3" t="s">
        <v>1299</v>
      </c>
      <c r="C54" s="3" t="s">
        <v>305</v>
      </c>
      <c r="D54" s="3" t="s">
        <v>635</v>
      </c>
      <c r="E54" s="3" t="s">
        <v>1301</v>
      </c>
      <c r="F54" s="4">
        <v>115.0</v>
      </c>
      <c r="G54" s="3" t="s">
        <v>1235</v>
      </c>
      <c r="H54" s="3" t="s">
        <v>1566</v>
      </c>
      <c r="I54" s="3" t="s">
        <v>1567</v>
      </c>
      <c r="J54" s="3" t="s">
        <v>1568</v>
      </c>
      <c r="K54" s="3" t="s">
        <v>1569</v>
      </c>
      <c r="L54" s="4">
        <v>105.0</v>
      </c>
      <c r="M54" s="5">
        <v>572.0</v>
      </c>
      <c r="N54" s="6">
        <v>5.8</v>
      </c>
      <c r="O54" s="3" t="s">
        <v>1570</v>
      </c>
      <c r="P54" s="4">
        <v>4.0</v>
      </c>
      <c r="Q54" s="4">
        <v>580.0</v>
      </c>
      <c r="R54" s="6">
        <v>18.0</v>
      </c>
      <c r="S54" s="4">
        <v>62.0</v>
      </c>
      <c r="T54" s="6">
        <v>1.15</v>
      </c>
      <c r="U54" s="3" t="s">
        <v>1571</v>
      </c>
      <c r="V54" s="3" t="s">
        <v>1572</v>
      </c>
      <c r="W54" s="2" t="s">
        <v>1543</v>
      </c>
    </row>
    <row r="55" spans="8:8" ht="18.75" customHeight="1">
      <c r="A55" s="7" t="s">
        <v>1685</v>
      </c>
      <c r="B55" s="8" t="s">
        <v>1299</v>
      </c>
      <c r="C55" s="8" t="s">
        <v>305</v>
      </c>
      <c r="D55" s="8" t="s">
        <v>635</v>
      </c>
      <c r="E55" s="8" t="s">
        <v>1301</v>
      </c>
      <c r="F55" s="9">
        <v>115.0</v>
      </c>
      <c r="G55" s="8" t="s">
        <v>1235</v>
      </c>
      <c r="H55" s="8" t="s">
        <v>1574</v>
      </c>
      <c r="I55" s="8" t="s">
        <v>1575</v>
      </c>
      <c r="J55" s="8" t="s">
        <v>1561</v>
      </c>
      <c r="K55" s="8" t="s">
        <v>1569</v>
      </c>
      <c r="L55" s="9">
        <v>110.0</v>
      </c>
      <c r="M55" s="10">
        <v>541.0</v>
      </c>
      <c r="N55" s="11">
        <v>5.2</v>
      </c>
      <c r="O55" s="8" t="s">
        <v>1576</v>
      </c>
      <c r="P55" s="9">
        <v>4.0</v>
      </c>
      <c r="Q55" s="9">
        <v>550.0</v>
      </c>
      <c r="R55" s="11">
        <v>16.0</v>
      </c>
      <c r="S55" s="9">
        <v>26.0</v>
      </c>
      <c r="T55" s="11">
        <v>0.51</v>
      </c>
      <c r="U55" s="8" t="s">
        <v>1577</v>
      </c>
      <c r="V55" s="8" t="s">
        <v>1578</v>
      </c>
      <c r="W55" s="7" t="s">
        <v>1543</v>
      </c>
    </row>
    <row r="56" spans="8:8" ht="18.75" customHeight="1">
      <c r="A56" s="2" t="s">
        <v>1686</v>
      </c>
      <c r="B56" s="3" t="s">
        <v>1299</v>
      </c>
      <c r="C56" s="3" t="s">
        <v>305</v>
      </c>
      <c r="D56" s="3" t="s">
        <v>635</v>
      </c>
      <c r="E56" s="3" t="s">
        <v>1301</v>
      </c>
      <c r="F56" s="4">
        <v>115.0</v>
      </c>
      <c r="G56" s="3" t="s">
        <v>1235</v>
      </c>
      <c r="H56" s="3" t="s">
        <v>1580</v>
      </c>
      <c r="I56" s="3" t="s">
        <v>1581</v>
      </c>
      <c r="J56" s="3" t="s">
        <v>1547</v>
      </c>
      <c r="K56" s="3" t="s">
        <v>1539</v>
      </c>
      <c r="L56" s="4">
        <v>160.0</v>
      </c>
      <c r="M56" s="5">
        <v>594.0</v>
      </c>
      <c r="N56" s="6">
        <v>4.8</v>
      </c>
      <c r="O56" s="3" t="s">
        <v>1582</v>
      </c>
      <c r="P56" s="4">
        <v>3.0</v>
      </c>
      <c r="Q56" s="4">
        <v>600.0</v>
      </c>
      <c r="R56" s="6">
        <v>20.0</v>
      </c>
      <c r="S56" s="4">
        <v>18.0</v>
      </c>
      <c r="T56" s="6">
        <v>0.32</v>
      </c>
      <c r="U56" s="3" t="s">
        <v>1583</v>
      </c>
      <c r="V56" s="3" t="s">
        <v>1584</v>
      </c>
      <c r="W56" s="2" t="s">
        <v>1543</v>
      </c>
    </row>
    <row r="57" spans="8:8" ht="18.75" customHeight="1">
      <c r="A57" s="7" t="s">
        <v>1687</v>
      </c>
      <c r="B57" s="8" t="s">
        <v>1299</v>
      </c>
      <c r="C57" s="8" t="s">
        <v>305</v>
      </c>
      <c r="D57" s="8" t="s">
        <v>635</v>
      </c>
      <c r="E57" s="8" t="s">
        <v>1301</v>
      </c>
      <c r="F57" s="9">
        <v>115.0</v>
      </c>
      <c r="G57" s="8" t="s">
        <v>1235</v>
      </c>
      <c r="H57" s="8" t="s">
        <v>1586</v>
      </c>
      <c r="I57" s="8" t="s">
        <v>1587</v>
      </c>
      <c r="J57" s="8" t="s">
        <v>1568</v>
      </c>
      <c r="K57" s="8" t="s">
        <v>1548</v>
      </c>
      <c r="L57" s="9">
        <v>120.0</v>
      </c>
      <c r="M57" s="10">
        <v>509.0</v>
      </c>
      <c r="N57" s="11">
        <v>4.6</v>
      </c>
      <c r="O57" s="8" t="s">
        <v>1588</v>
      </c>
      <c r="P57" s="9">
        <v>5.0</v>
      </c>
      <c r="Q57" s="9">
        <v>500.0</v>
      </c>
      <c r="R57" s="11">
        <v>18.0</v>
      </c>
      <c r="S57" s="9">
        <v>48.0</v>
      </c>
      <c r="T57" s="11">
        <v>1.0</v>
      </c>
      <c r="U57" s="8" t="s">
        <v>1589</v>
      </c>
      <c r="V57" s="8" t="s">
        <v>1590</v>
      </c>
      <c r="W57" s="7" t="s">
        <v>1543</v>
      </c>
    </row>
    <row r="58" spans="8:8" ht="18.75" customHeight="1">
      <c r="A58" s="2" t="s">
        <v>1688</v>
      </c>
      <c r="B58" s="3" t="s">
        <v>1299</v>
      </c>
      <c r="C58" s="3" t="s">
        <v>305</v>
      </c>
      <c r="D58" s="3" t="s">
        <v>635</v>
      </c>
      <c r="E58" s="3" t="s">
        <v>1301</v>
      </c>
      <c r="F58" s="4">
        <v>115.0</v>
      </c>
      <c r="G58" s="3" t="s">
        <v>1246</v>
      </c>
      <c r="H58" s="3" t="s">
        <v>1592</v>
      </c>
      <c r="I58" s="3" t="s">
        <v>1593</v>
      </c>
      <c r="J58" s="3" t="s">
        <v>1568</v>
      </c>
      <c r="K58" s="3" t="s">
        <v>1569</v>
      </c>
      <c r="L58" s="4">
        <v>125.0</v>
      </c>
      <c r="M58" s="5">
        <v>975.0</v>
      </c>
      <c r="N58" s="6">
        <v>7.8</v>
      </c>
      <c r="O58" s="3" t="s">
        <v>1594</v>
      </c>
      <c r="P58" s="4">
        <v>13.0</v>
      </c>
      <c r="Q58" s="4">
        <v>950.0</v>
      </c>
      <c r="R58" s="6">
        <v>10.0</v>
      </c>
      <c r="S58" s="4">
        <v>64.0</v>
      </c>
      <c r="T58" s="6">
        <v>0.7</v>
      </c>
      <c r="U58" s="3" t="s">
        <v>1595</v>
      </c>
      <c r="V58" s="3" t="s">
        <v>1590</v>
      </c>
      <c r="W58" s="2" t="s">
        <v>1543</v>
      </c>
    </row>
    <row r="59" spans="8:8" ht="18.75" customHeight="1">
      <c r="A59" s="7" t="s">
        <v>1689</v>
      </c>
      <c r="B59" s="8" t="s">
        <v>1299</v>
      </c>
      <c r="C59" s="8" t="s">
        <v>305</v>
      </c>
      <c r="D59" s="8" t="s">
        <v>635</v>
      </c>
      <c r="E59" s="8" t="s">
        <v>1301</v>
      </c>
      <c r="F59" s="9">
        <v>115.0</v>
      </c>
      <c r="G59" s="8" t="s">
        <v>1246</v>
      </c>
      <c r="H59" s="8" t="s">
        <v>1597</v>
      </c>
      <c r="I59" s="8" t="s">
        <v>1598</v>
      </c>
      <c r="J59" s="8" t="s">
        <v>1599</v>
      </c>
      <c r="K59" s="8" t="s">
        <v>1539</v>
      </c>
      <c r="L59" s="9">
        <v>165.0</v>
      </c>
      <c r="M59" s="10">
        <v>827.0</v>
      </c>
      <c r="N59" s="11">
        <v>6.4</v>
      </c>
      <c r="O59" s="8" t="s">
        <v>1600</v>
      </c>
      <c r="P59" s="9">
        <v>6.0</v>
      </c>
      <c r="Q59" s="9">
        <v>750.0</v>
      </c>
      <c r="R59" s="11">
        <v>14.0</v>
      </c>
      <c r="S59" s="9">
        <v>28.0</v>
      </c>
      <c r="T59" s="11">
        <v>0.36</v>
      </c>
      <c r="U59" s="8" t="s">
        <v>1601</v>
      </c>
      <c r="V59" s="8" t="s">
        <v>1602</v>
      </c>
      <c r="W59" s="7" t="s">
        <v>1543</v>
      </c>
    </row>
    <row r="60" spans="8:8" ht="18.75" customHeight="1">
      <c r="A60" s="2" t="s">
        <v>1690</v>
      </c>
      <c r="B60" s="3" t="s">
        <v>1299</v>
      </c>
      <c r="C60" s="3" t="s">
        <v>305</v>
      </c>
      <c r="D60" s="3" t="s">
        <v>635</v>
      </c>
      <c r="E60" s="3" t="s">
        <v>1301</v>
      </c>
      <c r="F60" s="4">
        <v>115.0</v>
      </c>
      <c r="G60" s="3" t="s">
        <v>1246</v>
      </c>
      <c r="H60" s="3" t="s">
        <v>1604</v>
      </c>
      <c r="I60" s="3" t="s">
        <v>1605</v>
      </c>
      <c r="J60" s="3" t="s">
        <v>1606</v>
      </c>
      <c r="K60" s="3" t="s">
        <v>1569</v>
      </c>
      <c r="L60" s="4">
        <v>160.0</v>
      </c>
      <c r="M60" s="5">
        <v>869.0</v>
      </c>
      <c r="N60" s="6">
        <v>6.2</v>
      </c>
      <c r="O60" s="3" t="s">
        <v>1607</v>
      </c>
      <c r="P60" s="4">
        <v>8.0</v>
      </c>
      <c r="Q60" s="4">
        <v>800.0</v>
      </c>
      <c r="R60" s="6">
        <v>12.0</v>
      </c>
      <c r="S60" s="4">
        <v>35.0</v>
      </c>
      <c r="T60" s="6">
        <v>0.43</v>
      </c>
      <c r="U60" s="3" t="s">
        <v>1608</v>
      </c>
      <c r="V60" s="3" t="s">
        <v>1609</v>
      </c>
      <c r="W60" s="2" t="s">
        <v>1543</v>
      </c>
    </row>
    <row r="61" spans="8:8" ht="18.75" customHeight="1">
      <c r="A61" s="7" t="s">
        <v>1691</v>
      </c>
      <c r="B61" s="8" t="s">
        <v>1299</v>
      </c>
      <c r="C61" s="8" t="s">
        <v>305</v>
      </c>
      <c r="D61" s="8" t="s">
        <v>635</v>
      </c>
      <c r="E61" s="8" t="s">
        <v>1301</v>
      </c>
      <c r="F61" s="9">
        <v>115.0</v>
      </c>
      <c r="G61" s="8" t="s">
        <v>1246</v>
      </c>
      <c r="H61" s="8" t="s">
        <v>1611</v>
      </c>
      <c r="I61" s="8" t="s">
        <v>1612</v>
      </c>
      <c r="J61" s="8" t="s">
        <v>1606</v>
      </c>
      <c r="K61" s="8" t="s">
        <v>1613</v>
      </c>
      <c r="L61" s="9">
        <v>250.0</v>
      </c>
      <c r="M61" s="10">
        <v>1113.0</v>
      </c>
      <c r="N61" s="11">
        <v>5.9</v>
      </c>
      <c r="O61" s="8" t="s">
        <v>1614</v>
      </c>
      <c r="P61" s="9">
        <v>15.0</v>
      </c>
      <c r="Q61" s="9">
        <v>1000.0</v>
      </c>
      <c r="R61" s="11">
        <v>10.0</v>
      </c>
      <c r="S61" s="9">
        <v>55.0</v>
      </c>
      <c r="T61" s="11">
        <v>0.52</v>
      </c>
      <c r="U61" s="8" t="s">
        <v>1615</v>
      </c>
      <c r="V61" s="8" t="s">
        <v>1616</v>
      </c>
      <c r="W61" s="7" t="s">
        <v>1543</v>
      </c>
    </row>
    <row r="62" spans="8:8" ht="18.75" customHeight="1">
      <c r="A62" s="2" t="s">
        <v>1692</v>
      </c>
      <c r="B62" s="3" t="s">
        <v>1299</v>
      </c>
      <c r="C62" s="3" t="s">
        <v>305</v>
      </c>
      <c r="D62" s="3" t="s">
        <v>635</v>
      </c>
      <c r="E62" s="3" t="s">
        <v>1301</v>
      </c>
      <c r="F62" s="4">
        <v>115.0</v>
      </c>
      <c r="G62" s="3" t="s">
        <v>1257</v>
      </c>
      <c r="H62" s="3" t="s">
        <v>1618</v>
      </c>
      <c r="I62" s="3" t="s">
        <v>1619</v>
      </c>
      <c r="J62" s="3" t="s">
        <v>1599</v>
      </c>
      <c r="K62" s="3" t="s">
        <v>1620</v>
      </c>
      <c r="L62" s="4">
        <v>360.0</v>
      </c>
      <c r="M62" s="5">
        <v>1749.0</v>
      </c>
      <c r="N62" s="6">
        <v>8.5</v>
      </c>
      <c r="O62" s="3" t="s">
        <v>1621</v>
      </c>
      <c r="P62" s="4">
        <v>25.0</v>
      </c>
      <c r="Q62" s="4">
        <v>1350.0</v>
      </c>
      <c r="R62" s="6">
        <v>6.0</v>
      </c>
      <c r="S62" s="4">
        <v>1050.0</v>
      </c>
      <c r="T62" s="6">
        <v>6.36</v>
      </c>
      <c r="U62" s="3" t="s">
        <v>1622</v>
      </c>
      <c r="V62" s="3" t="s">
        <v>1623</v>
      </c>
      <c r="W62" s="2" t="s">
        <v>1543</v>
      </c>
    </row>
    <row r="63" spans="8:8" ht="18.75" customHeight="1">
      <c r="A63" s="7" t="s">
        <v>1693</v>
      </c>
      <c r="B63" s="8" t="s">
        <v>1299</v>
      </c>
      <c r="C63" s="8" t="s">
        <v>305</v>
      </c>
      <c r="D63" s="8" t="s">
        <v>635</v>
      </c>
      <c r="E63" s="8" t="s">
        <v>1301</v>
      </c>
      <c r="F63" s="9">
        <v>115.0</v>
      </c>
      <c r="G63" s="8" t="s">
        <v>1257</v>
      </c>
      <c r="H63" s="8" t="s">
        <v>1625</v>
      </c>
      <c r="I63" s="8" t="s">
        <v>1626</v>
      </c>
      <c r="J63" s="8" t="s">
        <v>1627</v>
      </c>
      <c r="K63" s="8" t="s">
        <v>1628</v>
      </c>
      <c r="L63" s="9">
        <v>340.0</v>
      </c>
      <c r="M63" s="10">
        <v>1611.0</v>
      </c>
      <c r="N63" s="11">
        <v>8.2</v>
      </c>
      <c r="O63" s="8" t="s">
        <v>1629</v>
      </c>
      <c r="P63" s="9">
        <v>32.0</v>
      </c>
      <c r="Q63" s="9">
        <v>1300.0</v>
      </c>
      <c r="R63" s="11">
        <v>6.5</v>
      </c>
      <c r="S63" s="9">
        <v>650.0</v>
      </c>
      <c r="T63" s="11">
        <v>4.28</v>
      </c>
      <c r="U63" s="8" t="s">
        <v>1630</v>
      </c>
      <c r="V63" s="8" t="s">
        <v>1631</v>
      </c>
      <c r="W63" s="7" t="s">
        <v>1543</v>
      </c>
    </row>
    <row r="64" spans="8:8" ht="18.75" customHeight="1">
      <c r="A64" s="2" t="s">
        <v>1694</v>
      </c>
      <c r="B64" s="3" t="s">
        <v>1299</v>
      </c>
      <c r="C64" s="3" t="s">
        <v>305</v>
      </c>
      <c r="D64" s="3" t="s">
        <v>635</v>
      </c>
      <c r="E64" s="3" t="s">
        <v>1301</v>
      </c>
      <c r="F64" s="4">
        <v>115.0</v>
      </c>
      <c r="G64" s="3" t="s">
        <v>1257</v>
      </c>
      <c r="H64" s="3" t="s">
        <v>1633</v>
      </c>
      <c r="I64" s="3" t="s">
        <v>1593</v>
      </c>
      <c r="J64" s="3" t="s">
        <v>1568</v>
      </c>
      <c r="K64" s="3" t="s">
        <v>1634</v>
      </c>
      <c r="L64" s="4">
        <v>240.0</v>
      </c>
      <c r="M64" s="5">
        <v>1961.0</v>
      </c>
      <c r="N64" s="6">
        <v>9.0</v>
      </c>
      <c r="O64" s="3" t="s">
        <v>1635</v>
      </c>
      <c r="P64" s="4">
        <v>30.0</v>
      </c>
      <c r="Q64" s="4">
        <v>1500.0</v>
      </c>
      <c r="R64" s="6">
        <v>4.5</v>
      </c>
      <c r="S64" s="4">
        <v>120.0</v>
      </c>
      <c r="T64" s="6">
        <v>0.65</v>
      </c>
      <c r="U64" s="3" t="s">
        <v>1636</v>
      </c>
      <c r="V64" s="3" t="s">
        <v>1637</v>
      </c>
      <c r="W64" s="2" t="s">
        <v>1543</v>
      </c>
    </row>
    <row r="65" spans="8:8" ht="18.75" customHeight="1">
      <c r="A65" s="7" t="s">
        <v>1695</v>
      </c>
      <c r="B65" s="8" t="s">
        <v>1299</v>
      </c>
      <c r="C65" s="8" t="s">
        <v>305</v>
      </c>
      <c r="D65" s="8" t="s">
        <v>635</v>
      </c>
      <c r="E65" s="8" t="s">
        <v>1301</v>
      </c>
      <c r="F65" s="9">
        <v>115.0</v>
      </c>
      <c r="G65" s="8" t="s">
        <v>1257</v>
      </c>
      <c r="H65" s="8" t="s">
        <v>1639</v>
      </c>
      <c r="I65" s="8" t="s">
        <v>1640</v>
      </c>
      <c r="J65" s="8" t="s">
        <v>1641</v>
      </c>
      <c r="K65" s="8" t="s">
        <v>1642</v>
      </c>
      <c r="L65" s="9">
        <v>365.0</v>
      </c>
      <c r="M65" s="10">
        <v>1569.0</v>
      </c>
      <c r="N65" s="11">
        <v>7.2</v>
      </c>
      <c r="O65" s="8" t="s">
        <v>1643</v>
      </c>
      <c r="P65" s="9">
        <v>23.0</v>
      </c>
      <c r="Q65" s="9">
        <v>1400.0</v>
      </c>
      <c r="R65" s="11">
        <v>6.0</v>
      </c>
      <c r="S65" s="9">
        <v>140.0</v>
      </c>
      <c r="T65" s="11">
        <v>0.95</v>
      </c>
      <c r="U65" s="8" t="s">
        <v>1644</v>
      </c>
      <c r="V65" s="8" t="s">
        <v>1645</v>
      </c>
      <c r="W65" s="7" t="s">
        <v>1543</v>
      </c>
    </row>
    <row r="66" spans="8:8" ht="18.75" customHeight="1">
      <c r="A66" s="2" t="s">
        <v>1696</v>
      </c>
      <c r="B66" s="3" t="s">
        <v>1322</v>
      </c>
      <c r="C66" s="3" t="s">
        <v>59</v>
      </c>
      <c r="D66" s="3" t="s">
        <v>1697</v>
      </c>
      <c r="E66" s="3" t="s">
        <v>1324</v>
      </c>
      <c r="F66" s="4">
        <v>145.0</v>
      </c>
      <c r="G66" s="3" t="s">
        <v>1222</v>
      </c>
      <c r="H66" s="3" t="s">
        <v>1536</v>
      </c>
      <c r="I66" s="3" t="s">
        <v>1537</v>
      </c>
      <c r="J66" s="3" t="s">
        <v>1538</v>
      </c>
      <c r="K66" s="3" t="s">
        <v>1539</v>
      </c>
      <c r="L66" s="4">
        <v>80.0</v>
      </c>
      <c r="M66" s="5">
        <v>316.0</v>
      </c>
      <c r="N66" s="6">
        <v>4.2</v>
      </c>
      <c r="O66" s="3" t="s">
        <v>1540</v>
      </c>
      <c r="P66" s="4">
        <v>1.0</v>
      </c>
      <c r="Q66" s="4">
        <v>280.0</v>
      </c>
      <c r="R66" s="6">
        <v>35.0</v>
      </c>
      <c r="S66" s="4">
        <v>24.0</v>
      </c>
      <c r="T66" s="6">
        <v>0.77</v>
      </c>
      <c r="U66" s="3" t="s">
        <v>1541</v>
      </c>
      <c r="V66" s="3" t="s">
        <v>1542</v>
      </c>
      <c r="W66" s="2" t="s">
        <v>1543</v>
      </c>
    </row>
    <row r="67" spans="8:8" ht="18.75" customHeight="1">
      <c r="A67" s="7" t="s">
        <v>1698</v>
      </c>
      <c r="B67" s="8" t="s">
        <v>1322</v>
      </c>
      <c r="C67" s="8" t="s">
        <v>59</v>
      </c>
      <c r="D67" s="8" t="s">
        <v>1697</v>
      </c>
      <c r="E67" s="8" t="s">
        <v>1324</v>
      </c>
      <c r="F67" s="9">
        <v>145.0</v>
      </c>
      <c r="G67" s="8" t="s">
        <v>1222</v>
      </c>
      <c r="H67" s="8" t="s">
        <v>1545</v>
      </c>
      <c r="I67" s="8" t="s">
        <v>1546</v>
      </c>
      <c r="J67" s="8" t="s">
        <v>1547</v>
      </c>
      <c r="K67" s="8" t="s">
        <v>1548</v>
      </c>
      <c r="L67" s="9">
        <v>105.0</v>
      </c>
      <c r="M67" s="10">
        <v>347.0</v>
      </c>
      <c r="N67" s="11">
        <v>3.8</v>
      </c>
      <c r="O67" s="8" t="s">
        <v>1549</v>
      </c>
      <c r="P67" s="9">
        <v>2.0</v>
      </c>
      <c r="Q67" s="9">
        <v>350.0</v>
      </c>
      <c r="R67" s="11">
        <v>28.0</v>
      </c>
      <c r="S67" s="9">
        <v>20.0</v>
      </c>
      <c r="T67" s="11">
        <v>0.59</v>
      </c>
      <c r="U67" s="8" t="s">
        <v>1550</v>
      </c>
      <c r="V67" s="8" t="s">
        <v>1551</v>
      </c>
      <c r="W67" s="7" t="s">
        <v>1543</v>
      </c>
    </row>
    <row r="68" spans="8:8" ht="18.75" customHeight="1">
      <c r="A68" s="2" t="s">
        <v>1699</v>
      </c>
      <c r="B68" s="3" t="s">
        <v>1322</v>
      </c>
      <c r="C68" s="3" t="s">
        <v>59</v>
      </c>
      <c r="D68" s="3" t="s">
        <v>1697</v>
      </c>
      <c r="E68" s="3" t="s">
        <v>1324</v>
      </c>
      <c r="F68" s="4">
        <v>145.0</v>
      </c>
      <c r="G68" s="3" t="s">
        <v>1222</v>
      </c>
      <c r="H68" s="3" t="s">
        <v>1553</v>
      </c>
      <c r="I68" s="3" t="s">
        <v>1554</v>
      </c>
      <c r="J68" s="3" t="s">
        <v>1538</v>
      </c>
      <c r="K68" s="3" t="s">
        <v>1539</v>
      </c>
      <c r="L68" s="4">
        <v>75.0</v>
      </c>
      <c r="M68" s="5">
        <v>280.0</v>
      </c>
      <c r="N68" s="6">
        <v>3.9</v>
      </c>
      <c r="O68" s="3" t="s">
        <v>1555</v>
      </c>
      <c r="P68" s="4">
        <v>1.0</v>
      </c>
      <c r="Q68" s="4">
        <v>250.0</v>
      </c>
      <c r="R68" s="6">
        <v>38.0</v>
      </c>
      <c r="S68" s="4">
        <v>18.0</v>
      </c>
      <c r="T68" s="6">
        <v>0.65</v>
      </c>
      <c r="U68" s="3" t="s">
        <v>1556</v>
      </c>
      <c r="V68" s="3" t="s">
        <v>1557</v>
      </c>
      <c r="W68" s="2" t="s">
        <v>1543</v>
      </c>
    </row>
    <row r="69" spans="8:8" ht="18.75" customHeight="1">
      <c r="A69" s="7" t="s">
        <v>1700</v>
      </c>
      <c r="B69" s="8" t="s">
        <v>1322</v>
      </c>
      <c r="C69" s="8" t="s">
        <v>59</v>
      </c>
      <c r="D69" s="8" t="s">
        <v>1697</v>
      </c>
      <c r="E69" s="8" t="s">
        <v>1324</v>
      </c>
      <c r="F69" s="9">
        <v>145.0</v>
      </c>
      <c r="G69" s="8" t="s">
        <v>1222</v>
      </c>
      <c r="H69" s="8" t="s">
        <v>1559</v>
      </c>
      <c r="I69" s="8" t="s">
        <v>1560</v>
      </c>
      <c r="J69" s="8" t="s">
        <v>1561</v>
      </c>
      <c r="K69" s="8" t="s">
        <v>1548</v>
      </c>
      <c r="L69" s="9">
        <v>110.0</v>
      </c>
      <c r="M69" s="10">
        <v>367.0</v>
      </c>
      <c r="N69" s="11">
        <v>4.0</v>
      </c>
      <c r="O69" s="8" t="s">
        <v>1562</v>
      </c>
      <c r="P69" s="9">
        <v>2.0</v>
      </c>
      <c r="Q69" s="9">
        <v>380.0</v>
      </c>
      <c r="R69" s="11">
        <v>30.0</v>
      </c>
      <c r="S69" s="9">
        <v>19.0</v>
      </c>
      <c r="T69" s="11">
        <v>0.53</v>
      </c>
      <c r="U69" s="8" t="s">
        <v>1563</v>
      </c>
      <c r="V69" s="8" t="s">
        <v>1564</v>
      </c>
      <c r="W69" s="7" t="s">
        <v>1543</v>
      </c>
    </row>
    <row r="70" spans="8:8" ht="18.75" customHeight="1">
      <c r="A70" s="2" t="s">
        <v>1701</v>
      </c>
      <c r="B70" s="3" t="s">
        <v>1322</v>
      </c>
      <c r="C70" s="3" t="s">
        <v>59</v>
      </c>
      <c r="D70" s="3" t="s">
        <v>1697</v>
      </c>
      <c r="E70" s="3" t="s">
        <v>1324</v>
      </c>
      <c r="F70" s="4">
        <v>145.0</v>
      </c>
      <c r="G70" s="3" t="s">
        <v>1235</v>
      </c>
      <c r="H70" s="3" t="s">
        <v>1566</v>
      </c>
      <c r="I70" s="3" t="s">
        <v>1567</v>
      </c>
      <c r="J70" s="3" t="s">
        <v>1568</v>
      </c>
      <c r="K70" s="3" t="s">
        <v>1569</v>
      </c>
      <c r="L70" s="4">
        <v>105.0</v>
      </c>
      <c r="M70" s="5">
        <v>551.0</v>
      </c>
      <c r="N70" s="6">
        <v>5.8</v>
      </c>
      <c r="O70" s="3" t="s">
        <v>1570</v>
      </c>
      <c r="P70" s="4">
        <v>4.0</v>
      </c>
      <c r="Q70" s="4">
        <v>580.0</v>
      </c>
      <c r="R70" s="6">
        <v>18.0</v>
      </c>
      <c r="S70" s="4">
        <v>62.0</v>
      </c>
      <c r="T70" s="6">
        <v>1.15</v>
      </c>
      <c r="U70" s="3" t="s">
        <v>1571</v>
      </c>
      <c r="V70" s="3" t="s">
        <v>1572</v>
      </c>
      <c r="W70" s="2" t="s">
        <v>1543</v>
      </c>
    </row>
    <row r="71" spans="8:8" ht="18.75" customHeight="1">
      <c r="A71" s="7" t="s">
        <v>1702</v>
      </c>
      <c r="B71" s="8" t="s">
        <v>1322</v>
      </c>
      <c r="C71" s="8" t="s">
        <v>59</v>
      </c>
      <c r="D71" s="8" t="s">
        <v>1697</v>
      </c>
      <c r="E71" s="8" t="s">
        <v>1324</v>
      </c>
      <c r="F71" s="9">
        <v>145.0</v>
      </c>
      <c r="G71" s="8" t="s">
        <v>1235</v>
      </c>
      <c r="H71" s="8" t="s">
        <v>1574</v>
      </c>
      <c r="I71" s="8" t="s">
        <v>1575</v>
      </c>
      <c r="J71" s="8" t="s">
        <v>1561</v>
      </c>
      <c r="K71" s="8" t="s">
        <v>1569</v>
      </c>
      <c r="L71" s="9">
        <v>110.0</v>
      </c>
      <c r="M71" s="10">
        <v>520.0</v>
      </c>
      <c r="N71" s="11">
        <v>5.2</v>
      </c>
      <c r="O71" s="8" t="s">
        <v>1576</v>
      </c>
      <c r="P71" s="9">
        <v>4.0</v>
      </c>
      <c r="Q71" s="9">
        <v>550.0</v>
      </c>
      <c r="R71" s="11">
        <v>16.0</v>
      </c>
      <c r="S71" s="9">
        <v>26.0</v>
      </c>
      <c r="T71" s="11">
        <v>0.51</v>
      </c>
      <c r="U71" s="8" t="s">
        <v>1577</v>
      </c>
      <c r="V71" s="8" t="s">
        <v>1578</v>
      </c>
      <c r="W71" s="7" t="s">
        <v>1543</v>
      </c>
    </row>
    <row r="72" spans="8:8" ht="18.75" customHeight="1">
      <c r="A72" s="2" t="s">
        <v>1703</v>
      </c>
      <c r="B72" s="3" t="s">
        <v>1322</v>
      </c>
      <c r="C72" s="3" t="s">
        <v>59</v>
      </c>
      <c r="D72" s="3" t="s">
        <v>1697</v>
      </c>
      <c r="E72" s="3" t="s">
        <v>1324</v>
      </c>
      <c r="F72" s="4">
        <v>145.0</v>
      </c>
      <c r="G72" s="3" t="s">
        <v>1235</v>
      </c>
      <c r="H72" s="3" t="s">
        <v>1580</v>
      </c>
      <c r="I72" s="3" t="s">
        <v>1581</v>
      </c>
      <c r="J72" s="3" t="s">
        <v>1547</v>
      </c>
      <c r="K72" s="3" t="s">
        <v>1539</v>
      </c>
      <c r="L72" s="4">
        <v>160.0</v>
      </c>
      <c r="M72" s="5">
        <v>571.0</v>
      </c>
      <c r="N72" s="6">
        <v>4.8</v>
      </c>
      <c r="O72" s="3" t="s">
        <v>1582</v>
      </c>
      <c r="P72" s="4">
        <v>3.0</v>
      </c>
      <c r="Q72" s="4">
        <v>600.0</v>
      </c>
      <c r="R72" s="6">
        <v>20.0</v>
      </c>
      <c r="S72" s="4">
        <v>18.0</v>
      </c>
      <c r="T72" s="6">
        <v>0.32</v>
      </c>
      <c r="U72" s="3" t="s">
        <v>1583</v>
      </c>
      <c r="V72" s="3" t="s">
        <v>1584</v>
      </c>
      <c r="W72" s="2" t="s">
        <v>1543</v>
      </c>
    </row>
    <row r="73" spans="8:8" ht="18.75" customHeight="1">
      <c r="A73" s="7" t="s">
        <v>1704</v>
      </c>
      <c r="B73" s="8" t="s">
        <v>1322</v>
      </c>
      <c r="C73" s="8" t="s">
        <v>59</v>
      </c>
      <c r="D73" s="8" t="s">
        <v>1697</v>
      </c>
      <c r="E73" s="8" t="s">
        <v>1324</v>
      </c>
      <c r="F73" s="9">
        <v>145.0</v>
      </c>
      <c r="G73" s="8" t="s">
        <v>1235</v>
      </c>
      <c r="H73" s="8" t="s">
        <v>1586</v>
      </c>
      <c r="I73" s="8" t="s">
        <v>1587</v>
      </c>
      <c r="J73" s="8" t="s">
        <v>1568</v>
      </c>
      <c r="K73" s="8" t="s">
        <v>1548</v>
      </c>
      <c r="L73" s="9">
        <v>120.0</v>
      </c>
      <c r="M73" s="10">
        <v>490.0</v>
      </c>
      <c r="N73" s="11">
        <v>4.6</v>
      </c>
      <c r="O73" s="8" t="s">
        <v>1588</v>
      </c>
      <c r="P73" s="9">
        <v>5.0</v>
      </c>
      <c r="Q73" s="9">
        <v>500.0</v>
      </c>
      <c r="R73" s="11">
        <v>18.0</v>
      </c>
      <c r="S73" s="9">
        <v>48.0</v>
      </c>
      <c r="T73" s="11">
        <v>1.0</v>
      </c>
      <c r="U73" s="8" t="s">
        <v>1589</v>
      </c>
      <c r="V73" s="8" t="s">
        <v>1590</v>
      </c>
      <c r="W73" s="7" t="s">
        <v>1543</v>
      </c>
    </row>
    <row r="74" spans="8:8" ht="18.75" customHeight="1">
      <c r="A74" s="2" t="s">
        <v>1705</v>
      </c>
      <c r="B74" s="3" t="s">
        <v>1322</v>
      </c>
      <c r="C74" s="3" t="s">
        <v>59</v>
      </c>
      <c r="D74" s="3" t="s">
        <v>1697</v>
      </c>
      <c r="E74" s="3" t="s">
        <v>1324</v>
      </c>
      <c r="F74" s="4">
        <v>145.0</v>
      </c>
      <c r="G74" s="3" t="s">
        <v>1246</v>
      </c>
      <c r="H74" s="3" t="s">
        <v>1592</v>
      </c>
      <c r="I74" s="3" t="s">
        <v>1593</v>
      </c>
      <c r="J74" s="3" t="s">
        <v>1568</v>
      </c>
      <c r="K74" s="3" t="s">
        <v>1569</v>
      </c>
      <c r="L74" s="4">
        <v>125.0</v>
      </c>
      <c r="M74" s="5">
        <v>938.0</v>
      </c>
      <c r="N74" s="6">
        <v>7.8</v>
      </c>
      <c r="O74" s="3" t="s">
        <v>1594</v>
      </c>
      <c r="P74" s="4">
        <v>12.0</v>
      </c>
      <c r="Q74" s="4">
        <v>950.0</v>
      </c>
      <c r="R74" s="6">
        <v>10.0</v>
      </c>
      <c r="S74" s="4">
        <v>64.0</v>
      </c>
      <c r="T74" s="6">
        <v>0.7</v>
      </c>
      <c r="U74" s="3" t="s">
        <v>1595</v>
      </c>
      <c r="V74" s="3" t="s">
        <v>1590</v>
      </c>
      <c r="W74" s="2" t="s">
        <v>1543</v>
      </c>
    </row>
    <row r="75" spans="8:8" ht="18.75" customHeight="1">
      <c r="A75" s="7" t="s">
        <v>1706</v>
      </c>
      <c r="B75" s="8" t="s">
        <v>1322</v>
      </c>
      <c r="C75" s="8" t="s">
        <v>59</v>
      </c>
      <c r="D75" s="8" t="s">
        <v>1697</v>
      </c>
      <c r="E75" s="8" t="s">
        <v>1324</v>
      </c>
      <c r="F75" s="9">
        <v>145.0</v>
      </c>
      <c r="G75" s="8" t="s">
        <v>1246</v>
      </c>
      <c r="H75" s="8" t="s">
        <v>1597</v>
      </c>
      <c r="I75" s="8" t="s">
        <v>1598</v>
      </c>
      <c r="J75" s="8" t="s">
        <v>1599</v>
      </c>
      <c r="K75" s="8" t="s">
        <v>1539</v>
      </c>
      <c r="L75" s="9">
        <v>165.0</v>
      </c>
      <c r="M75" s="10">
        <v>796.0</v>
      </c>
      <c r="N75" s="11">
        <v>6.4</v>
      </c>
      <c r="O75" s="8" t="s">
        <v>1600</v>
      </c>
      <c r="P75" s="9">
        <v>6.0</v>
      </c>
      <c r="Q75" s="9">
        <v>750.0</v>
      </c>
      <c r="R75" s="11">
        <v>14.0</v>
      </c>
      <c r="S75" s="9">
        <v>28.0</v>
      </c>
      <c r="T75" s="11">
        <v>0.36</v>
      </c>
      <c r="U75" s="8" t="s">
        <v>1601</v>
      </c>
      <c r="V75" s="8" t="s">
        <v>1602</v>
      </c>
      <c r="W75" s="7" t="s">
        <v>1543</v>
      </c>
    </row>
    <row r="76" spans="8:8" ht="18.75" customHeight="1">
      <c r="A76" s="2" t="s">
        <v>1707</v>
      </c>
      <c r="B76" s="3" t="s">
        <v>1322</v>
      </c>
      <c r="C76" s="3" t="s">
        <v>59</v>
      </c>
      <c r="D76" s="3" t="s">
        <v>1697</v>
      </c>
      <c r="E76" s="3" t="s">
        <v>1324</v>
      </c>
      <c r="F76" s="4">
        <v>145.0</v>
      </c>
      <c r="G76" s="3" t="s">
        <v>1246</v>
      </c>
      <c r="H76" s="3" t="s">
        <v>1604</v>
      </c>
      <c r="I76" s="3" t="s">
        <v>1605</v>
      </c>
      <c r="J76" s="3" t="s">
        <v>1606</v>
      </c>
      <c r="K76" s="3" t="s">
        <v>1569</v>
      </c>
      <c r="L76" s="4">
        <v>160.0</v>
      </c>
      <c r="M76" s="5">
        <v>836.0</v>
      </c>
      <c r="N76" s="6">
        <v>6.2</v>
      </c>
      <c r="O76" s="3" t="s">
        <v>1607</v>
      </c>
      <c r="P76" s="4">
        <v>8.0</v>
      </c>
      <c r="Q76" s="4">
        <v>800.0</v>
      </c>
      <c r="R76" s="6">
        <v>12.0</v>
      </c>
      <c r="S76" s="4">
        <v>35.0</v>
      </c>
      <c r="T76" s="6">
        <v>0.43</v>
      </c>
      <c r="U76" s="3" t="s">
        <v>1608</v>
      </c>
      <c r="V76" s="3" t="s">
        <v>1609</v>
      </c>
      <c r="W76" s="2" t="s">
        <v>1543</v>
      </c>
    </row>
    <row r="77" spans="8:8" ht="18.75" customHeight="1">
      <c r="A77" s="7" t="s">
        <v>1708</v>
      </c>
      <c r="B77" s="8" t="s">
        <v>1322</v>
      </c>
      <c r="C77" s="8" t="s">
        <v>59</v>
      </c>
      <c r="D77" s="8" t="s">
        <v>1697</v>
      </c>
      <c r="E77" s="8" t="s">
        <v>1324</v>
      </c>
      <c r="F77" s="9">
        <v>145.0</v>
      </c>
      <c r="G77" s="8" t="s">
        <v>1246</v>
      </c>
      <c r="H77" s="8" t="s">
        <v>1611</v>
      </c>
      <c r="I77" s="8" t="s">
        <v>1612</v>
      </c>
      <c r="J77" s="8" t="s">
        <v>1606</v>
      </c>
      <c r="K77" s="8" t="s">
        <v>1613</v>
      </c>
      <c r="L77" s="9">
        <v>250.0</v>
      </c>
      <c r="M77" s="10">
        <v>1071.0</v>
      </c>
      <c r="N77" s="11">
        <v>5.9</v>
      </c>
      <c r="O77" s="8" t="s">
        <v>1614</v>
      </c>
      <c r="P77" s="9">
        <v>14.0</v>
      </c>
      <c r="Q77" s="9">
        <v>1000.0</v>
      </c>
      <c r="R77" s="11">
        <v>10.0</v>
      </c>
      <c r="S77" s="9">
        <v>55.0</v>
      </c>
      <c r="T77" s="11">
        <v>0.52</v>
      </c>
      <c r="U77" s="8" t="s">
        <v>1615</v>
      </c>
      <c r="V77" s="8" t="s">
        <v>1616</v>
      </c>
      <c r="W77" s="7" t="s">
        <v>1543</v>
      </c>
    </row>
    <row r="78" spans="8:8" ht="18.75" customHeight="1">
      <c r="A78" s="2" t="s">
        <v>1709</v>
      </c>
      <c r="B78" s="3" t="s">
        <v>1322</v>
      </c>
      <c r="C78" s="3" t="s">
        <v>59</v>
      </c>
      <c r="D78" s="3" t="s">
        <v>1697</v>
      </c>
      <c r="E78" s="3" t="s">
        <v>1324</v>
      </c>
      <c r="F78" s="4">
        <v>145.0</v>
      </c>
      <c r="G78" s="3" t="s">
        <v>1257</v>
      </c>
      <c r="H78" s="3" t="s">
        <v>1618</v>
      </c>
      <c r="I78" s="3" t="s">
        <v>1619</v>
      </c>
      <c r="J78" s="3" t="s">
        <v>1599</v>
      </c>
      <c r="K78" s="3" t="s">
        <v>1620</v>
      </c>
      <c r="L78" s="4">
        <v>360.0</v>
      </c>
      <c r="M78" s="5">
        <v>1683.0</v>
      </c>
      <c r="N78" s="6">
        <v>8.5</v>
      </c>
      <c r="O78" s="3" t="s">
        <v>1621</v>
      </c>
      <c r="P78" s="4">
        <v>24.0</v>
      </c>
      <c r="Q78" s="4">
        <v>1350.0</v>
      </c>
      <c r="R78" s="6">
        <v>6.0</v>
      </c>
      <c r="S78" s="4">
        <v>1050.0</v>
      </c>
      <c r="T78" s="6">
        <v>6.36</v>
      </c>
      <c r="U78" s="3" t="s">
        <v>1622</v>
      </c>
      <c r="V78" s="3" t="s">
        <v>1623</v>
      </c>
      <c r="W78" s="2" t="s">
        <v>1543</v>
      </c>
    </row>
    <row r="79" spans="8:8" ht="18.75" customHeight="1">
      <c r="A79" s="7" t="s">
        <v>1710</v>
      </c>
      <c r="B79" s="8" t="s">
        <v>1322</v>
      </c>
      <c r="C79" s="8" t="s">
        <v>59</v>
      </c>
      <c r="D79" s="8" t="s">
        <v>1697</v>
      </c>
      <c r="E79" s="8" t="s">
        <v>1324</v>
      </c>
      <c r="F79" s="9">
        <v>145.0</v>
      </c>
      <c r="G79" s="8" t="s">
        <v>1257</v>
      </c>
      <c r="H79" s="8" t="s">
        <v>1625</v>
      </c>
      <c r="I79" s="8" t="s">
        <v>1626</v>
      </c>
      <c r="J79" s="8" t="s">
        <v>1627</v>
      </c>
      <c r="K79" s="8" t="s">
        <v>1628</v>
      </c>
      <c r="L79" s="9">
        <v>340.0</v>
      </c>
      <c r="M79" s="10">
        <v>1550.0</v>
      </c>
      <c r="N79" s="11">
        <v>8.2</v>
      </c>
      <c r="O79" s="8" t="s">
        <v>1629</v>
      </c>
      <c r="P79" s="9">
        <v>31.0</v>
      </c>
      <c r="Q79" s="9">
        <v>1300.0</v>
      </c>
      <c r="R79" s="11">
        <v>6.5</v>
      </c>
      <c r="S79" s="9">
        <v>650.0</v>
      </c>
      <c r="T79" s="11">
        <v>4.28</v>
      </c>
      <c r="U79" s="8" t="s">
        <v>1630</v>
      </c>
      <c r="V79" s="8" t="s">
        <v>1631</v>
      </c>
      <c r="W79" s="7" t="s">
        <v>1543</v>
      </c>
    </row>
    <row r="80" spans="8:8" ht="18.75" customHeight="1">
      <c r="A80" s="2" t="s">
        <v>1711</v>
      </c>
      <c r="B80" s="3" t="s">
        <v>1322</v>
      </c>
      <c r="C80" s="3" t="s">
        <v>59</v>
      </c>
      <c r="D80" s="3" t="s">
        <v>1697</v>
      </c>
      <c r="E80" s="3" t="s">
        <v>1324</v>
      </c>
      <c r="F80" s="4">
        <v>145.0</v>
      </c>
      <c r="G80" s="3" t="s">
        <v>1257</v>
      </c>
      <c r="H80" s="3" t="s">
        <v>1633</v>
      </c>
      <c r="I80" s="3" t="s">
        <v>1593</v>
      </c>
      <c r="J80" s="3" t="s">
        <v>1568</v>
      </c>
      <c r="K80" s="3" t="s">
        <v>1634</v>
      </c>
      <c r="L80" s="4">
        <v>240.0</v>
      </c>
      <c r="M80" s="5">
        <v>1887.0</v>
      </c>
      <c r="N80" s="6">
        <v>9.0</v>
      </c>
      <c r="O80" s="3" t="s">
        <v>1635</v>
      </c>
      <c r="P80" s="4">
        <v>29.0</v>
      </c>
      <c r="Q80" s="4">
        <v>1500.0</v>
      </c>
      <c r="R80" s="6">
        <v>4.5</v>
      </c>
      <c r="S80" s="4">
        <v>120.0</v>
      </c>
      <c r="T80" s="6">
        <v>0.65</v>
      </c>
      <c r="U80" s="3" t="s">
        <v>1636</v>
      </c>
      <c r="V80" s="3" t="s">
        <v>1637</v>
      </c>
      <c r="W80" s="2" t="s">
        <v>1543</v>
      </c>
    </row>
    <row r="81" spans="8:8" ht="18.75" customHeight="1">
      <c r="A81" s="7" t="s">
        <v>1712</v>
      </c>
      <c r="B81" s="8" t="s">
        <v>1322</v>
      </c>
      <c r="C81" s="8" t="s">
        <v>59</v>
      </c>
      <c r="D81" s="8" t="s">
        <v>1697</v>
      </c>
      <c r="E81" s="8" t="s">
        <v>1324</v>
      </c>
      <c r="F81" s="9">
        <v>145.0</v>
      </c>
      <c r="G81" s="8" t="s">
        <v>1257</v>
      </c>
      <c r="H81" s="8" t="s">
        <v>1639</v>
      </c>
      <c r="I81" s="8" t="s">
        <v>1640</v>
      </c>
      <c r="J81" s="8" t="s">
        <v>1641</v>
      </c>
      <c r="K81" s="8" t="s">
        <v>1642</v>
      </c>
      <c r="L81" s="9">
        <v>365.0</v>
      </c>
      <c r="M81" s="10">
        <v>1510.0</v>
      </c>
      <c r="N81" s="11">
        <v>7.2</v>
      </c>
      <c r="O81" s="8" t="s">
        <v>1643</v>
      </c>
      <c r="P81" s="9">
        <v>22.0</v>
      </c>
      <c r="Q81" s="9">
        <v>1400.0</v>
      </c>
      <c r="R81" s="11">
        <v>6.0</v>
      </c>
      <c r="S81" s="9">
        <v>140.0</v>
      </c>
      <c r="T81" s="11">
        <v>0.95</v>
      </c>
      <c r="U81" s="8" t="s">
        <v>1644</v>
      </c>
      <c r="V81" s="8" t="s">
        <v>1645</v>
      </c>
      <c r="W81" s="7" t="s">
        <v>1543</v>
      </c>
    </row>
    <row r="82" spans="8:8" ht="18.75" customHeight="1">
      <c r="A82" s="2" t="s">
        <v>1713</v>
      </c>
      <c r="B82" s="3" t="s">
        <v>1329</v>
      </c>
      <c r="C82" s="3" t="s">
        <v>243</v>
      </c>
      <c r="D82" s="3" t="s">
        <v>1714</v>
      </c>
      <c r="E82" s="3" t="s">
        <v>1331</v>
      </c>
      <c r="F82" s="4">
        <v>195.0</v>
      </c>
      <c r="G82" s="3" t="s">
        <v>1222</v>
      </c>
      <c r="H82" s="3" t="s">
        <v>1536</v>
      </c>
      <c r="I82" s="3" t="s">
        <v>1537</v>
      </c>
      <c r="J82" s="3" t="s">
        <v>1538</v>
      </c>
      <c r="K82" s="3" t="s">
        <v>1539</v>
      </c>
      <c r="L82" s="4">
        <v>80.0</v>
      </c>
      <c r="M82" s="5">
        <v>298.0</v>
      </c>
      <c r="N82" s="6">
        <v>4.2</v>
      </c>
      <c r="O82" s="3" t="s">
        <v>1540</v>
      </c>
      <c r="P82" s="4">
        <v>1.0</v>
      </c>
      <c r="Q82" s="4">
        <v>280.0</v>
      </c>
      <c r="R82" s="6">
        <v>35.0</v>
      </c>
      <c r="S82" s="4">
        <v>24.0</v>
      </c>
      <c r="T82" s="6">
        <v>0.77</v>
      </c>
      <c r="U82" s="3" t="s">
        <v>1541</v>
      </c>
      <c r="V82" s="3" t="s">
        <v>1542</v>
      </c>
      <c r="W82" s="2" t="s">
        <v>1543</v>
      </c>
    </row>
    <row r="83" spans="8:8" ht="18.75" customHeight="1">
      <c r="A83" s="7" t="s">
        <v>1715</v>
      </c>
      <c r="B83" s="8" t="s">
        <v>1329</v>
      </c>
      <c r="C83" s="8" t="s">
        <v>243</v>
      </c>
      <c r="D83" s="8" t="s">
        <v>1714</v>
      </c>
      <c r="E83" s="8" t="s">
        <v>1331</v>
      </c>
      <c r="F83" s="9">
        <v>195.0</v>
      </c>
      <c r="G83" s="8" t="s">
        <v>1222</v>
      </c>
      <c r="H83" s="8" t="s">
        <v>1545</v>
      </c>
      <c r="I83" s="8" t="s">
        <v>1546</v>
      </c>
      <c r="J83" s="8" t="s">
        <v>1547</v>
      </c>
      <c r="K83" s="8" t="s">
        <v>1548</v>
      </c>
      <c r="L83" s="9">
        <v>105.0</v>
      </c>
      <c r="M83" s="10">
        <v>326.0</v>
      </c>
      <c r="N83" s="11">
        <v>3.8</v>
      </c>
      <c r="O83" s="8" t="s">
        <v>1549</v>
      </c>
      <c r="P83" s="9">
        <v>2.0</v>
      </c>
      <c r="Q83" s="9">
        <v>350.0</v>
      </c>
      <c r="R83" s="11">
        <v>28.0</v>
      </c>
      <c r="S83" s="9">
        <v>20.0</v>
      </c>
      <c r="T83" s="11">
        <v>0.59</v>
      </c>
      <c r="U83" s="8" t="s">
        <v>1550</v>
      </c>
      <c r="V83" s="8" t="s">
        <v>1551</v>
      </c>
      <c r="W83" s="7" t="s">
        <v>1543</v>
      </c>
    </row>
    <row r="84" spans="8:8" ht="18.75" customHeight="1">
      <c r="A84" s="2" t="s">
        <v>1716</v>
      </c>
      <c r="B84" s="3" t="s">
        <v>1329</v>
      </c>
      <c r="C84" s="3" t="s">
        <v>243</v>
      </c>
      <c r="D84" s="3" t="s">
        <v>1714</v>
      </c>
      <c r="E84" s="3" t="s">
        <v>1331</v>
      </c>
      <c r="F84" s="4">
        <v>195.0</v>
      </c>
      <c r="G84" s="3" t="s">
        <v>1222</v>
      </c>
      <c r="H84" s="3" t="s">
        <v>1553</v>
      </c>
      <c r="I84" s="3" t="s">
        <v>1554</v>
      </c>
      <c r="J84" s="3" t="s">
        <v>1538</v>
      </c>
      <c r="K84" s="3" t="s">
        <v>1539</v>
      </c>
      <c r="L84" s="4">
        <v>75.0</v>
      </c>
      <c r="M84" s="5">
        <v>264.0</v>
      </c>
      <c r="N84" s="6">
        <v>3.9</v>
      </c>
      <c r="O84" s="3" t="s">
        <v>1555</v>
      </c>
      <c r="P84" s="4">
        <v>1.0</v>
      </c>
      <c r="Q84" s="4">
        <v>250.0</v>
      </c>
      <c r="R84" s="6">
        <v>38.0</v>
      </c>
      <c r="S84" s="4">
        <v>18.0</v>
      </c>
      <c r="T84" s="6">
        <v>0.65</v>
      </c>
      <c r="U84" s="3" t="s">
        <v>1556</v>
      </c>
      <c r="V84" s="3" t="s">
        <v>1557</v>
      </c>
      <c r="W84" s="2" t="s">
        <v>1543</v>
      </c>
    </row>
    <row r="85" spans="8:8" ht="18.75" customHeight="1">
      <c r="A85" s="7" t="s">
        <v>1717</v>
      </c>
      <c r="B85" s="8" t="s">
        <v>1329</v>
      </c>
      <c r="C85" s="8" t="s">
        <v>243</v>
      </c>
      <c r="D85" s="8" t="s">
        <v>1714</v>
      </c>
      <c r="E85" s="8" t="s">
        <v>1331</v>
      </c>
      <c r="F85" s="9">
        <v>195.0</v>
      </c>
      <c r="G85" s="8" t="s">
        <v>1222</v>
      </c>
      <c r="H85" s="8" t="s">
        <v>1559</v>
      </c>
      <c r="I85" s="8" t="s">
        <v>1560</v>
      </c>
      <c r="J85" s="8" t="s">
        <v>1561</v>
      </c>
      <c r="K85" s="8" t="s">
        <v>1548</v>
      </c>
      <c r="L85" s="9">
        <v>110.0</v>
      </c>
      <c r="M85" s="10">
        <v>346.0</v>
      </c>
      <c r="N85" s="11">
        <v>4.0</v>
      </c>
      <c r="O85" s="8" t="s">
        <v>1562</v>
      </c>
      <c r="P85" s="9">
        <v>2.0</v>
      </c>
      <c r="Q85" s="9">
        <v>380.0</v>
      </c>
      <c r="R85" s="11">
        <v>30.0</v>
      </c>
      <c r="S85" s="9">
        <v>19.0</v>
      </c>
      <c r="T85" s="11">
        <v>0.53</v>
      </c>
      <c r="U85" s="8" t="s">
        <v>1563</v>
      </c>
      <c r="V85" s="8" t="s">
        <v>1564</v>
      </c>
      <c r="W85" s="7" t="s">
        <v>1543</v>
      </c>
    </row>
    <row r="86" spans="8:8" ht="18.75" customHeight="1">
      <c r="A86" s="2" t="s">
        <v>1718</v>
      </c>
      <c r="B86" s="3" t="s">
        <v>1329</v>
      </c>
      <c r="C86" s="3" t="s">
        <v>243</v>
      </c>
      <c r="D86" s="3" t="s">
        <v>1714</v>
      </c>
      <c r="E86" s="3" t="s">
        <v>1331</v>
      </c>
      <c r="F86" s="4">
        <v>195.0</v>
      </c>
      <c r="G86" s="3" t="s">
        <v>1235</v>
      </c>
      <c r="H86" s="3" t="s">
        <v>1566</v>
      </c>
      <c r="I86" s="3" t="s">
        <v>1567</v>
      </c>
      <c r="J86" s="3" t="s">
        <v>1568</v>
      </c>
      <c r="K86" s="3" t="s">
        <v>1569</v>
      </c>
      <c r="L86" s="4">
        <v>105.0</v>
      </c>
      <c r="M86" s="5">
        <v>518.0</v>
      </c>
      <c r="N86" s="6">
        <v>5.8</v>
      </c>
      <c r="O86" s="3" t="s">
        <v>1570</v>
      </c>
      <c r="P86" s="4">
        <v>4.0</v>
      </c>
      <c r="Q86" s="4">
        <v>580.0</v>
      </c>
      <c r="R86" s="6">
        <v>18.0</v>
      </c>
      <c r="S86" s="4">
        <v>62.0</v>
      </c>
      <c r="T86" s="6">
        <v>1.15</v>
      </c>
      <c r="U86" s="3" t="s">
        <v>1571</v>
      </c>
      <c r="V86" s="3" t="s">
        <v>1572</v>
      </c>
      <c r="W86" s="2" t="s">
        <v>1543</v>
      </c>
    </row>
    <row r="87" spans="8:8" ht="18.75" customHeight="1">
      <c r="A87" s="7" t="s">
        <v>1719</v>
      </c>
      <c r="B87" s="8" t="s">
        <v>1329</v>
      </c>
      <c r="C87" s="8" t="s">
        <v>243</v>
      </c>
      <c r="D87" s="8" t="s">
        <v>1714</v>
      </c>
      <c r="E87" s="8" t="s">
        <v>1331</v>
      </c>
      <c r="F87" s="9">
        <v>195.0</v>
      </c>
      <c r="G87" s="8" t="s">
        <v>1235</v>
      </c>
      <c r="H87" s="8" t="s">
        <v>1574</v>
      </c>
      <c r="I87" s="8" t="s">
        <v>1575</v>
      </c>
      <c r="J87" s="8" t="s">
        <v>1561</v>
      </c>
      <c r="K87" s="8" t="s">
        <v>1569</v>
      </c>
      <c r="L87" s="9">
        <v>110.0</v>
      </c>
      <c r="M87" s="10">
        <v>490.0</v>
      </c>
      <c r="N87" s="11">
        <v>5.2</v>
      </c>
      <c r="O87" s="8" t="s">
        <v>1576</v>
      </c>
      <c r="P87" s="9">
        <v>4.0</v>
      </c>
      <c r="Q87" s="9">
        <v>550.0</v>
      </c>
      <c r="R87" s="11">
        <v>16.0</v>
      </c>
      <c r="S87" s="9">
        <v>26.0</v>
      </c>
      <c r="T87" s="11">
        <v>0.51</v>
      </c>
      <c r="U87" s="8" t="s">
        <v>1577</v>
      </c>
      <c r="V87" s="8" t="s">
        <v>1578</v>
      </c>
      <c r="W87" s="7" t="s">
        <v>1543</v>
      </c>
    </row>
    <row r="88" spans="8:8" ht="18.75" customHeight="1">
      <c r="A88" s="2" t="s">
        <v>1720</v>
      </c>
      <c r="B88" s="3" t="s">
        <v>1329</v>
      </c>
      <c r="C88" s="3" t="s">
        <v>243</v>
      </c>
      <c r="D88" s="3" t="s">
        <v>1714</v>
      </c>
      <c r="E88" s="3" t="s">
        <v>1331</v>
      </c>
      <c r="F88" s="4">
        <v>195.0</v>
      </c>
      <c r="G88" s="3" t="s">
        <v>1235</v>
      </c>
      <c r="H88" s="3" t="s">
        <v>1580</v>
      </c>
      <c r="I88" s="3" t="s">
        <v>1581</v>
      </c>
      <c r="J88" s="3" t="s">
        <v>1547</v>
      </c>
      <c r="K88" s="3" t="s">
        <v>1539</v>
      </c>
      <c r="L88" s="4">
        <v>160.0</v>
      </c>
      <c r="M88" s="5">
        <v>538.0</v>
      </c>
      <c r="N88" s="6">
        <v>4.8</v>
      </c>
      <c r="O88" s="3" t="s">
        <v>1582</v>
      </c>
      <c r="P88" s="4">
        <v>3.0</v>
      </c>
      <c r="Q88" s="4">
        <v>600.0</v>
      </c>
      <c r="R88" s="6">
        <v>20.0</v>
      </c>
      <c r="S88" s="4">
        <v>18.0</v>
      </c>
      <c r="T88" s="6">
        <v>0.32</v>
      </c>
      <c r="U88" s="3" t="s">
        <v>1583</v>
      </c>
      <c r="V88" s="3" t="s">
        <v>1584</v>
      </c>
      <c r="W88" s="2" t="s">
        <v>1543</v>
      </c>
    </row>
    <row r="89" spans="8:8" ht="18.75" customHeight="1">
      <c r="A89" s="7" t="s">
        <v>1721</v>
      </c>
      <c r="B89" s="8" t="s">
        <v>1329</v>
      </c>
      <c r="C89" s="8" t="s">
        <v>243</v>
      </c>
      <c r="D89" s="8" t="s">
        <v>1714</v>
      </c>
      <c r="E89" s="8" t="s">
        <v>1331</v>
      </c>
      <c r="F89" s="9">
        <v>195.0</v>
      </c>
      <c r="G89" s="8" t="s">
        <v>1235</v>
      </c>
      <c r="H89" s="8" t="s">
        <v>1586</v>
      </c>
      <c r="I89" s="8" t="s">
        <v>1587</v>
      </c>
      <c r="J89" s="8" t="s">
        <v>1568</v>
      </c>
      <c r="K89" s="8" t="s">
        <v>1548</v>
      </c>
      <c r="L89" s="9">
        <v>120.0</v>
      </c>
      <c r="M89" s="10">
        <v>461.0</v>
      </c>
      <c r="N89" s="11">
        <v>4.6</v>
      </c>
      <c r="O89" s="8" t="s">
        <v>1588</v>
      </c>
      <c r="P89" s="9">
        <v>5.0</v>
      </c>
      <c r="Q89" s="9">
        <v>500.0</v>
      </c>
      <c r="R89" s="11">
        <v>18.0</v>
      </c>
      <c r="S89" s="9">
        <v>48.0</v>
      </c>
      <c r="T89" s="11">
        <v>1.0</v>
      </c>
      <c r="U89" s="8" t="s">
        <v>1589</v>
      </c>
      <c r="V89" s="8" t="s">
        <v>1590</v>
      </c>
      <c r="W89" s="7" t="s">
        <v>1543</v>
      </c>
    </row>
    <row r="90" spans="8:8" ht="18.75" customHeight="1">
      <c r="A90" s="2" t="s">
        <v>1722</v>
      </c>
      <c r="B90" s="3" t="s">
        <v>1329</v>
      </c>
      <c r="C90" s="3" t="s">
        <v>243</v>
      </c>
      <c r="D90" s="3" t="s">
        <v>1714</v>
      </c>
      <c r="E90" s="3" t="s">
        <v>1331</v>
      </c>
      <c r="F90" s="4">
        <v>195.0</v>
      </c>
      <c r="G90" s="3" t="s">
        <v>1246</v>
      </c>
      <c r="H90" s="3" t="s">
        <v>1592</v>
      </c>
      <c r="I90" s="3" t="s">
        <v>1593</v>
      </c>
      <c r="J90" s="3" t="s">
        <v>1568</v>
      </c>
      <c r="K90" s="3" t="s">
        <v>1569</v>
      </c>
      <c r="L90" s="4">
        <v>125.0</v>
      </c>
      <c r="M90" s="5">
        <v>883.0</v>
      </c>
      <c r="N90" s="6">
        <v>7.8</v>
      </c>
      <c r="O90" s="3" t="s">
        <v>1594</v>
      </c>
      <c r="P90" s="4">
        <v>12.0</v>
      </c>
      <c r="Q90" s="4">
        <v>950.0</v>
      </c>
      <c r="R90" s="6">
        <v>10.0</v>
      </c>
      <c r="S90" s="4">
        <v>64.0</v>
      </c>
      <c r="T90" s="6">
        <v>0.7</v>
      </c>
      <c r="U90" s="3" t="s">
        <v>1595</v>
      </c>
      <c r="V90" s="3" t="s">
        <v>1590</v>
      </c>
      <c r="W90" s="2" t="s">
        <v>1543</v>
      </c>
    </row>
    <row r="91" spans="8:8" ht="18.75" customHeight="1">
      <c r="A91" s="7" t="s">
        <v>1723</v>
      </c>
      <c r="B91" s="8" t="s">
        <v>1329</v>
      </c>
      <c r="C91" s="8" t="s">
        <v>243</v>
      </c>
      <c r="D91" s="8" t="s">
        <v>1714</v>
      </c>
      <c r="E91" s="8" t="s">
        <v>1331</v>
      </c>
      <c r="F91" s="9">
        <v>195.0</v>
      </c>
      <c r="G91" s="8" t="s">
        <v>1246</v>
      </c>
      <c r="H91" s="8" t="s">
        <v>1597</v>
      </c>
      <c r="I91" s="8" t="s">
        <v>1598</v>
      </c>
      <c r="J91" s="8" t="s">
        <v>1599</v>
      </c>
      <c r="K91" s="8" t="s">
        <v>1539</v>
      </c>
      <c r="L91" s="9">
        <v>165.0</v>
      </c>
      <c r="M91" s="10">
        <v>749.0</v>
      </c>
      <c r="N91" s="11">
        <v>6.4</v>
      </c>
      <c r="O91" s="8" t="s">
        <v>1600</v>
      </c>
      <c r="P91" s="9">
        <v>6.0</v>
      </c>
      <c r="Q91" s="9">
        <v>750.0</v>
      </c>
      <c r="R91" s="11">
        <v>14.0</v>
      </c>
      <c r="S91" s="9">
        <v>28.0</v>
      </c>
      <c r="T91" s="11">
        <v>0.36</v>
      </c>
      <c r="U91" s="8" t="s">
        <v>1601</v>
      </c>
      <c r="V91" s="8" t="s">
        <v>1602</v>
      </c>
      <c r="W91" s="7" t="s">
        <v>1543</v>
      </c>
    </row>
    <row r="92" spans="8:8" ht="18.75" customHeight="1">
      <c r="A92" s="2" t="s">
        <v>1724</v>
      </c>
      <c r="B92" s="3" t="s">
        <v>1329</v>
      </c>
      <c r="C92" s="3" t="s">
        <v>243</v>
      </c>
      <c r="D92" s="3" t="s">
        <v>1714</v>
      </c>
      <c r="E92" s="3" t="s">
        <v>1331</v>
      </c>
      <c r="F92" s="4">
        <v>195.0</v>
      </c>
      <c r="G92" s="3" t="s">
        <v>1246</v>
      </c>
      <c r="H92" s="3" t="s">
        <v>1604</v>
      </c>
      <c r="I92" s="3" t="s">
        <v>1605</v>
      </c>
      <c r="J92" s="3" t="s">
        <v>1606</v>
      </c>
      <c r="K92" s="3" t="s">
        <v>1569</v>
      </c>
      <c r="L92" s="4">
        <v>160.0</v>
      </c>
      <c r="M92" s="5">
        <v>787.0</v>
      </c>
      <c r="N92" s="6">
        <v>6.2</v>
      </c>
      <c r="O92" s="3" t="s">
        <v>1607</v>
      </c>
      <c r="P92" s="4">
        <v>8.0</v>
      </c>
      <c r="Q92" s="4">
        <v>800.0</v>
      </c>
      <c r="R92" s="6">
        <v>12.0</v>
      </c>
      <c r="S92" s="4">
        <v>35.0</v>
      </c>
      <c r="T92" s="6">
        <v>0.43</v>
      </c>
      <c r="U92" s="3" t="s">
        <v>1608</v>
      </c>
      <c r="V92" s="3" t="s">
        <v>1609</v>
      </c>
      <c r="W92" s="2" t="s">
        <v>1543</v>
      </c>
    </row>
    <row r="93" spans="8:8" ht="18.75" customHeight="1">
      <c r="A93" s="7" t="s">
        <v>1725</v>
      </c>
      <c r="B93" s="8" t="s">
        <v>1329</v>
      </c>
      <c r="C93" s="8" t="s">
        <v>243</v>
      </c>
      <c r="D93" s="8" t="s">
        <v>1714</v>
      </c>
      <c r="E93" s="8" t="s">
        <v>1331</v>
      </c>
      <c r="F93" s="9">
        <v>195.0</v>
      </c>
      <c r="G93" s="8" t="s">
        <v>1246</v>
      </c>
      <c r="H93" s="8" t="s">
        <v>1611</v>
      </c>
      <c r="I93" s="8" t="s">
        <v>1612</v>
      </c>
      <c r="J93" s="8" t="s">
        <v>1606</v>
      </c>
      <c r="K93" s="8" t="s">
        <v>1613</v>
      </c>
      <c r="L93" s="9">
        <v>250.0</v>
      </c>
      <c r="M93" s="10">
        <v>1008.0</v>
      </c>
      <c r="N93" s="11">
        <v>5.9</v>
      </c>
      <c r="O93" s="8" t="s">
        <v>1614</v>
      </c>
      <c r="P93" s="9">
        <v>13.0</v>
      </c>
      <c r="Q93" s="9">
        <v>1000.0</v>
      </c>
      <c r="R93" s="11">
        <v>10.0</v>
      </c>
      <c r="S93" s="9">
        <v>55.0</v>
      </c>
      <c r="T93" s="11">
        <v>0.52</v>
      </c>
      <c r="U93" s="8" t="s">
        <v>1615</v>
      </c>
      <c r="V93" s="8" t="s">
        <v>1616</v>
      </c>
      <c r="W93" s="7" t="s">
        <v>1543</v>
      </c>
    </row>
    <row r="94" spans="8:8" ht="18.75" customHeight="1">
      <c r="A94" s="2" t="s">
        <v>1726</v>
      </c>
      <c r="B94" s="3" t="s">
        <v>1329</v>
      </c>
      <c r="C94" s="3" t="s">
        <v>243</v>
      </c>
      <c r="D94" s="3" t="s">
        <v>1714</v>
      </c>
      <c r="E94" s="3" t="s">
        <v>1331</v>
      </c>
      <c r="F94" s="4">
        <v>195.0</v>
      </c>
      <c r="G94" s="3" t="s">
        <v>1257</v>
      </c>
      <c r="H94" s="3" t="s">
        <v>1618</v>
      </c>
      <c r="I94" s="3" t="s">
        <v>1619</v>
      </c>
      <c r="J94" s="3" t="s">
        <v>1599</v>
      </c>
      <c r="K94" s="3" t="s">
        <v>1620</v>
      </c>
      <c r="L94" s="4">
        <v>360.0</v>
      </c>
      <c r="M94" s="5">
        <v>1584.0</v>
      </c>
      <c r="N94" s="6">
        <v>8.5</v>
      </c>
      <c r="O94" s="3" t="s">
        <v>1621</v>
      </c>
      <c r="P94" s="4">
        <v>23.0</v>
      </c>
      <c r="Q94" s="4">
        <v>1350.0</v>
      </c>
      <c r="R94" s="6">
        <v>6.0</v>
      </c>
      <c r="S94" s="4">
        <v>1050.0</v>
      </c>
      <c r="T94" s="6">
        <v>6.36</v>
      </c>
      <c r="U94" s="3" t="s">
        <v>1622</v>
      </c>
      <c r="V94" s="3" t="s">
        <v>1623</v>
      </c>
      <c r="W94" s="2" t="s">
        <v>1543</v>
      </c>
    </row>
    <row r="95" spans="8:8" ht="18.75" customHeight="1">
      <c r="A95" s="7" t="s">
        <v>1727</v>
      </c>
      <c r="B95" s="8" t="s">
        <v>1329</v>
      </c>
      <c r="C95" s="8" t="s">
        <v>243</v>
      </c>
      <c r="D95" s="8" t="s">
        <v>1714</v>
      </c>
      <c r="E95" s="8" t="s">
        <v>1331</v>
      </c>
      <c r="F95" s="9">
        <v>195.0</v>
      </c>
      <c r="G95" s="8" t="s">
        <v>1257</v>
      </c>
      <c r="H95" s="8" t="s">
        <v>1625</v>
      </c>
      <c r="I95" s="8" t="s">
        <v>1626</v>
      </c>
      <c r="J95" s="8" t="s">
        <v>1627</v>
      </c>
      <c r="K95" s="8" t="s">
        <v>1628</v>
      </c>
      <c r="L95" s="9">
        <v>340.0</v>
      </c>
      <c r="M95" s="10">
        <v>1459.0</v>
      </c>
      <c r="N95" s="11">
        <v>8.2</v>
      </c>
      <c r="O95" s="8" t="s">
        <v>1629</v>
      </c>
      <c r="P95" s="9">
        <v>29.0</v>
      </c>
      <c r="Q95" s="9">
        <v>1300.0</v>
      </c>
      <c r="R95" s="11">
        <v>6.5</v>
      </c>
      <c r="S95" s="9">
        <v>650.0</v>
      </c>
      <c r="T95" s="11">
        <v>4.28</v>
      </c>
      <c r="U95" s="8" t="s">
        <v>1630</v>
      </c>
      <c r="V95" s="8" t="s">
        <v>1631</v>
      </c>
      <c r="W95" s="7" t="s">
        <v>1543</v>
      </c>
    </row>
    <row r="96" spans="8:8" ht="18.75" customHeight="1">
      <c r="A96" s="2" t="s">
        <v>1728</v>
      </c>
      <c r="B96" s="3" t="s">
        <v>1329</v>
      </c>
      <c r="C96" s="3" t="s">
        <v>243</v>
      </c>
      <c r="D96" s="3" t="s">
        <v>1714</v>
      </c>
      <c r="E96" s="3" t="s">
        <v>1331</v>
      </c>
      <c r="F96" s="4">
        <v>195.0</v>
      </c>
      <c r="G96" s="3" t="s">
        <v>1257</v>
      </c>
      <c r="H96" s="3" t="s">
        <v>1633</v>
      </c>
      <c r="I96" s="3" t="s">
        <v>1593</v>
      </c>
      <c r="J96" s="3" t="s">
        <v>1568</v>
      </c>
      <c r="K96" s="3" t="s">
        <v>1634</v>
      </c>
      <c r="L96" s="4">
        <v>240.0</v>
      </c>
      <c r="M96" s="5">
        <v>1776.0</v>
      </c>
      <c r="N96" s="6">
        <v>9.0</v>
      </c>
      <c r="O96" s="3" t="s">
        <v>1635</v>
      </c>
      <c r="P96" s="4">
        <v>27.0</v>
      </c>
      <c r="Q96" s="4">
        <v>1500.0</v>
      </c>
      <c r="R96" s="6">
        <v>4.5</v>
      </c>
      <c r="S96" s="4">
        <v>120.0</v>
      </c>
      <c r="T96" s="6">
        <v>0.65</v>
      </c>
      <c r="U96" s="3" t="s">
        <v>1636</v>
      </c>
      <c r="V96" s="3" t="s">
        <v>1637</v>
      </c>
      <c r="W96" s="2" t="s">
        <v>1543</v>
      </c>
    </row>
    <row r="97" spans="8:8" ht="18.75" customHeight="1">
      <c r="A97" s="7" t="s">
        <v>1729</v>
      </c>
      <c r="B97" s="8" t="s">
        <v>1329</v>
      </c>
      <c r="C97" s="8" t="s">
        <v>243</v>
      </c>
      <c r="D97" s="8" t="s">
        <v>1714</v>
      </c>
      <c r="E97" s="8" t="s">
        <v>1331</v>
      </c>
      <c r="F97" s="9">
        <v>195.0</v>
      </c>
      <c r="G97" s="8" t="s">
        <v>1257</v>
      </c>
      <c r="H97" s="8" t="s">
        <v>1639</v>
      </c>
      <c r="I97" s="8" t="s">
        <v>1640</v>
      </c>
      <c r="J97" s="8" t="s">
        <v>1641</v>
      </c>
      <c r="K97" s="8" t="s">
        <v>1642</v>
      </c>
      <c r="L97" s="9">
        <v>365.0</v>
      </c>
      <c r="M97" s="10">
        <v>1421.0</v>
      </c>
      <c r="N97" s="11">
        <v>7.2</v>
      </c>
      <c r="O97" s="8" t="s">
        <v>1643</v>
      </c>
      <c r="P97" s="9">
        <v>21.0</v>
      </c>
      <c r="Q97" s="9">
        <v>1400.0</v>
      </c>
      <c r="R97" s="11">
        <v>6.0</v>
      </c>
      <c r="S97" s="9">
        <v>140.0</v>
      </c>
      <c r="T97" s="11">
        <v>0.95</v>
      </c>
      <c r="U97" s="8" t="s">
        <v>1644</v>
      </c>
      <c r="V97" s="8" t="s">
        <v>1645</v>
      </c>
      <c r="W97" s="7" t="s">
        <v>1543</v>
      </c>
    </row>
    <row r="98" spans="8:8" ht="18.75" customHeight="1">
      <c r="A98" s="2" t="s">
        <v>1730</v>
      </c>
      <c r="B98" s="3" t="s">
        <v>1353</v>
      </c>
      <c r="C98" s="3" t="s">
        <v>805</v>
      </c>
      <c r="D98" s="3" t="s">
        <v>1731</v>
      </c>
      <c r="E98" s="3" t="s">
        <v>1294</v>
      </c>
      <c r="F98" s="4">
        <v>180.0</v>
      </c>
      <c r="G98" s="3" t="s">
        <v>1222</v>
      </c>
      <c r="H98" s="3" t="s">
        <v>1536</v>
      </c>
      <c r="I98" s="3" t="s">
        <v>1537</v>
      </c>
      <c r="J98" s="3" t="s">
        <v>1538</v>
      </c>
      <c r="K98" s="3" t="s">
        <v>1539</v>
      </c>
      <c r="L98" s="4">
        <v>80.0</v>
      </c>
      <c r="M98" s="5">
        <v>301.0</v>
      </c>
      <c r="N98" s="6">
        <v>4.2</v>
      </c>
      <c r="O98" s="3" t="s">
        <v>1540</v>
      </c>
      <c r="P98" s="4">
        <v>1.0</v>
      </c>
      <c r="Q98" s="4">
        <v>280.0</v>
      </c>
      <c r="R98" s="6">
        <v>35.0</v>
      </c>
      <c r="S98" s="4">
        <v>24.0</v>
      </c>
      <c r="T98" s="6">
        <v>0.77</v>
      </c>
      <c r="U98" s="3" t="s">
        <v>1541</v>
      </c>
      <c r="V98" s="3" t="s">
        <v>1542</v>
      </c>
      <c r="W98" s="2" t="s">
        <v>1543</v>
      </c>
    </row>
    <row r="99" spans="8:8" ht="18.75" customHeight="1">
      <c r="A99" s="7" t="s">
        <v>1732</v>
      </c>
      <c r="B99" s="8" t="s">
        <v>1353</v>
      </c>
      <c r="C99" s="8" t="s">
        <v>805</v>
      </c>
      <c r="D99" s="8" t="s">
        <v>1731</v>
      </c>
      <c r="E99" s="8" t="s">
        <v>1294</v>
      </c>
      <c r="F99" s="9">
        <v>180.0</v>
      </c>
      <c r="G99" s="8" t="s">
        <v>1222</v>
      </c>
      <c r="H99" s="8" t="s">
        <v>1545</v>
      </c>
      <c r="I99" s="8" t="s">
        <v>1546</v>
      </c>
      <c r="J99" s="8" t="s">
        <v>1547</v>
      </c>
      <c r="K99" s="8" t="s">
        <v>1548</v>
      </c>
      <c r="L99" s="9">
        <v>105.0</v>
      </c>
      <c r="M99" s="10">
        <v>330.0</v>
      </c>
      <c r="N99" s="11">
        <v>3.8</v>
      </c>
      <c r="O99" s="8" t="s">
        <v>1549</v>
      </c>
      <c r="P99" s="9">
        <v>2.0</v>
      </c>
      <c r="Q99" s="9">
        <v>350.0</v>
      </c>
      <c r="R99" s="11">
        <v>28.0</v>
      </c>
      <c r="S99" s="9">
        <v>20.0</v>
      </c>
      <c r="T99" s="11">
        <v>0.59</v>
      </c>
      <c r="U99" s="8" t="s">
        <v>1550</v>
      </c>
      <c r="V99" s="8" t="s">
        <v>1551</v>
      </c>
      <c r="W99" s="7" t="s">
        <v>1543</v>
      </c>
    </row>
    <row r="100" spans="8:8" ht="18.75" customHeight="1">
      <c r="A100" s="2" t="s">
        <v>1733</v>
      </c>
      <c r="B100" s="3" t="s">
        <v>1353</v>
      </c>
      <c r="C100" s="3" t="s">
        <v>805</v>
      </c>
      <c r="D100" s="3" t="s">
        <v>1731</v>
      </c>
      <c r="E100" s="3" t="s">
        <v>1294</v>
      </c>
      <c r="F100" s="4">
        <v>180.0</v>
      </c>
      <c r="G100" s="3" t="s">
        <v>1222</v>
      </c>
      <c r="H100" s="3" t="s">
        <v>1553</v>
      </c>
      <c r="I100" s="3" t="s">
        <v>1554</v>
      </c>
      <c r="J100" s="3" t="s">
        <v>1538</v>
      </c>
      <c r="K100" s="3" t="s">
        <v>1539</v>
      </c>
      <c r="L100" s="4">
        <v>75.0</v>
      </c>
      <c r="M100" s="5">
        <v>267.0</v>
      </c>
      <c r="N100" s="6">
        <v>3.9</v>
      </c>
      <c r="O100" s="3" t="s">
        <v>1555</v>
      </c>
      <c r="P100" s="4">
        <v>1.0</v>
      </c>
      <c r="Q100" s="4">
        <v>250.0</v>
      </c>
      <c r="R100" s="6">
        <v>38.0</v>
      </c>
      <c r="S100" s="4">
        <v>18.0</v>
      </c>
      <c r="T100" s="6">
        <v>0.65</v>
      </c>
      <c r="U100" s="3" t="s">
        <v>1556</v>
      </c>
      <c r="V100" s="3" t="s">
        <v>1557</v>
      </c>
      <c r="W100" s="2" t="s">
        <v>1543</v>
      </c>
    </row>
    <row r="101" spans="8:8" ht="18.75" customHeight="1">
      <c r="A101" s="7" t="s">
        <v>1734</v>
      </c>
      <c r="B101" s="8" t="s">
        <v>1353</v>
      </c>
      <c r="C101" s="8" t="s">
        <v>805</v>
      </c>
      <c r="D101" s="8" t="s">
        <v>1731</v>
      </c>
      <c r="E101" s="8" t="s">
        <v>1294</v>
      </c>
      <c r="F101" s="9">
        <v>180.0</v>
      </c>
      <c r="G101" s="8" t="s">
        <v>1222</v>
      </c>
      <c r="H101" s="8" t="s">
        <v>1559</v>
      </c>
      <c r="I101" s="8" t="s">
        <v>1560</v>
      </c>
      <c r="J101" s="8" t="s">
        <v>1561</v>
      </c>
      <c r="K101" s="8" t="s">
        <v>1548</v>
      </c>
      <c r="L101" s="9">
        <v>110.0</v>
      </c>
      <c r="M101" s="10">
        <v>349.0</v>
      </c>
      <c r="N101" s="11">
        <v>4.0</v>
      </c>
      <c r="O101" s="8" t="s">
        <v>1562</v>
      </c>
      <c r="P101" s="9">
        <v>2.0</v>
      </c>
      <c r="Q101" s="9">
        <v>380.0</v>
      </c>
      <c r="R101" s="11">
        <v>30.0</v>
      </c>
      <c r="S101" s="9">
        <v>19.0</v>
      </c>
      <c r="T101" s="11">
        <v>0.53</v>
      </c>
      <c r="U101" s="8" t="s">
        <v>1563</v>
      </c>
      <c r="V101" s="8" t="s">
        <v>1564</v>
      </c>
      <c r="W101" s="7" t="s">
        <v>1543</v>
      </c>
    </row>
    <row r="102" spans="8:8" ht="18.75" customHeight="1">
      <c r="A102" s="2" t="s">
        <v>1735</v>
      </c>
      <c r="B102" s="3" t="s">
        <v>1353</v>
      </c>
      <c r="C102" s="3" t="s">
        <v>805</v>
      </c>
      <c r="D102" s="3" t="s">
        <v>1731</v>
      </c>
      <c r="E102" s="3" t="s">
        <v>1294</v>
      </c>
      <c r="F102" s="4">
        <v>180.0</v>
      </c>
      <c r="G102" s="3" t="s">
        <v>1235</v>
      </c>
      <c r="H102" s="3" t="s">
        <v>1566</v>
      </c>
      <c r="I102" s="3" t="s">
        <v>1567</v>
      </c>
      <c r="J102" s="3" t="s">
        <v>1568</v>
      </c>
      <c r="K102" s="3" t="s">
        <v>1569</v>
      </c>
      <c r="L102" s="4">
        <v>105.0</v>
      </c>
      <c r="M102" s="5">
        <v>524.0</v>
      </c>
      <c r="N102" s="6">
        <v>5.8</v>
      </c>
      <c r="O102" s="3" t="s">
        <v>1570</v>
      </c>
      <c r="P102" s="4">
        <v>4.0</v>
      </c>
      <c r="Q102" s="4">
        <v>580.0</v>
      </c>
      <c r="R102" s="6">
        <v>18.0</v>
      </c>
      <c r="S102" s="4">
        <v>62.0</v>
      </c>
      <c r="T102" s="6">
        <v>1.15</v>
      </c>
      <c r="U102" s="3" t="s">
        <v>1571</v>
      </c>
      <c r="V102" s="3" t="s">
        <v>1572</v>
      </c>
      <c r="W102" s="2" t="s">
        <v>1543</v>
      </c>
    </row>
    <row r="103" spans="8:8" ht="18.75" customHeight="1">
      <c r="A103" s="7" t="s">
        <v>1736</v>
      </c>
      <c r="B103" s="8" t="s">
        <v>1353</v>
      </c>
      <c r="C103" s="8" t="s">
        <v>805</v>
      </c>
      <c r="D103" s="8" t="s">
        <v>1731</v>
      </c>
      <c r="E103" s="8" t="s">
        <v>1294</v>
      </c>
      <c r="F103" s="9">
        <v>180.0</v>
      </c>
      <c r="G103" s="8" t="s">
        <v>1235</v>
      </c>
      <c r="H103" s="8" t="s">
        <v>1574</v>
      </c>
      <c r="I103" s="8" t="s">
        <v>1575</v>
      </c>
      <c r="J103" s="8" t="s">
        <v>1561</v>
      </c>
      <c r="K103" s="8" t="s">
        <v>1569</v>
      </c>
      <c r="L103" s="9">
        <v>110.0</v>
      </c>
      <c r="M103" s="10">
        <v>495.0</v>
      </c>
      <c r="N103" s="11">
        <v>5.2</v>
      </c>
      <c r="O103" s="8" t="s">
        <v>1576</v>
      </c>
      <c r="P103" s="9">
        <v>4.0</v>
      </c>
      <c r="Q103" s="9">
        <v>550.0</v>
      </c>
      <c r="R103" s="11">
        <v>16.0</v>
      </c>
      <c r="S103" s="9">
        <v>26.0</v>
      </c>
      <c r="T103" s="11">
        <v>0.51</v>
      </c>
      <c r="U103" s="8" t="s">
        <v>1577</v>
      </c>
      <c r="V103" s="8" t="s">
        <v>1578</v>
      </c>
      <c r="W103" s="7" t="s">
        <v>1543</v>
      </c>
    </row>
    <row r="104" spans="8:8" ht="18.75" customHeight="1">
      <c r="A104" s="2" t="s">
        <v>1737</v>
      </c>
      <c r="B104" s="3" t="s">
        <v>1353</v>
      </c>
      <c r="C104" s="3" t="s">
        <v>805</v>
      </c>
      <c r="D104" s="3" t="s">
        <v>1731</v>
      </c>
      <c r="E104" s="3" t="s">
        <v>1294</v>
      </c>
      <c r="F104" s="4">
        <v>180.0</v>
      </c>
      <c r="G104" s="3" t="s">
        <v>1235</v>
      </c>
      <c r="H104" s="3" t="s">
        <v>1580</v>
      </c>
      <c r="I104" s="3" t="s">
        <v>1581</v>
      </c>
      <c r="J104" s="3" t="s">
        <v>1547</v>
      </c>
      <c r="K104" s="3" t="s">
        <v>1539</v>
      </c>
      <c r="L104" s="4">
        <v>160.0</v>
      </c>
      <c r="M104" s="5">
        <v>543.0</v>
      </c>
      <c r="N104" s="6">
        <v>4.8</v>
      </c>
      <c r="O104" s="3" t="s">
        <v>1582</v>
      </c>
      <c r="P104" s="4">
        <v>3.0</v>
      </c>
      <c r="Q104" s="4">
        <v>600.0</v>
      </c>
      <c r="R104" s="6">
        <v>20.0</v>
      </c>
      <c r="S104" s="4">
        <v>18.0</v>
      </c>
      <c r="T104" s="6">
        <v>0.32</v>
      </c>
      <c r="U104" s="3" t="s">
        <v>1583</v>
      </c>
      <c r="V104" s="3" t="s">
        <v>1584</v>
      </c>
      <c r="W104" s="2" t="s">
        <v>1543</v>
      </c>
    </row>
    <row r="105" spans="8:8" ht="18.75" customHeight="1">
      <c r="A105" s="7" t="s">
        <v>1738</v>
      </c>
      <c r="B105" s="8" t="s">
        <v>1353</v>
      </c>
      <c r="C105" s="8" t="s">
        <v>805</v>
      </c>
      <c r="D105" s="8" t="s">
        <v>1731</v>
      </c>
      <c r="E105" s="8" t="s">
        <v>1294</v>
      </c>
      <c r="F105" s="9">
        <v>180.0</v>
      </c>
      <c r="G105" s="8" t="s">
        <v>1235</v>
      </c>
      <c r="H105" s="8" t="s">
        <v>1586</v>
      </c>
      <c r="I105" s="8" t="s">
        <v>1587</v>
      </c>
      <c r="J105" s="8" t="s">
        <v>1568</v>
      </c>
      <c r="K105" s="8" t="s">
        <v>1548</v>
      </c>
      <c r="L105" s="9">
        <v>120.0</v>
      </c>
      <c r="M105" s="10">
        <v>466.0</v>
      </c>
      <c r="N105" s="11">
        <v>4.6</v>
      </c>
      <c r="O105" s="8" t="s">
        <v>1588</v>
      </c>
      <c r="P105" s="9">
        <v>5.0</v>
      </c>
      <c r="Q105" s="9">
        <v>500.0</v>
      </c>
      <c r="R105" s="11">
        <v>18.0</v>
      </c>
      <c r="S105" s="9">
        <v>48.0</v>
      </c>
      <c r="T105" s="11">
        <v>1.0</v>
      </c>
      <c r="U105" s="8" t="s">
        <v>1589</v>
      </c>
      <c r="V105" s="8" t="s">
        <v>1590</v>
      </c>
      <c r="W105" s="7" t="s">
        <v>1543</v>
      </c>
    </row>
    <row r="106" spans="8:8" ht="18.75" customHeight="1">
      <c r="A106" s="2" t="s">
        <v>1739</v>
      </c>
      <c r="B106" s="3" t="s">
        <v>1353</v>
      </c>
      <c r="C106" s="3" t="s">
        <v>805</v>
      </c>
      <c r="D106" s="3" t="s">
        <v>1731</v>
      </c>
      <c r="E106" s="3" t="s">
        <v>1294</v>
      </c>
      <c r="F106" s="4">
        <v>180.0</v>
      </c>
      <c r="G106" s="3" t="s">
        <v>1246</v>
      </c>
      <c r="H106" s="3" t="s">
        <v>1592</v>
      </c>
      <c r="I106" s="3" t="s">
        <v>1593</v>
      </c>
      <c r="J106" s="3" t="s">
        <v>1568</v>
      </c>
      <c r="K106" s="3" t="s">
        <v>1569</v>
      </c>
      <c r="L106" s="4">
        <v>125.0</v>
      </c>
      <c r="M106" s="5">
        <v>892.0</v>
      </c>
      <c r="N106" s="6">
        <v>7.8</v>
      </c>
      <c r="O106" s="3" t="s">
        <v>1594</v>
      </c>
      <c r="P106" s="4">
        <v>12.0</v>
      </c>
      <c r="Q106" s="4">
        <v>950.0</v>
      </c>
      <c r="R106" s="6">
        <v>10.0</v>
      </c>
      <c r="S106" s="4">
        <v>64.0</v>
      </c>
      <c r="T106" s="6">
        <v>0.7</v>
      </c>
      <c r="U106" s="3" t="s">
        <v>1595</v>
      </c>
      <c r="V106" s="3" t="s">
        <v>1590</v>
      </c>
      <c r="W106" s="2" t="s">
        <v>1543</v>
      </c>
    </row>
    <row r="107" spans="8:8" ht="18.75" customHeight="1">
      <c r="A107" s="7" t="s">
        <v>1740</v>
      </c>
      <c r="B107" s="8" t="s">
        <v>1353</v>
      </c>
      <c r="C107" s="8" t="s">
        <v>805</v>
      </c>
      <c r="D107" s="8" t="s">
        <v>1731</v>
      </c>
      <c r="E107" s="8" t="s">
        <v>1294</v>
      </c>
      <c r="F107" s="9">
        <v>180.0</v>
      </c>
      <c r="G107" s="8" t="s">
        <v>1246</v>
      </c>
      <c r="H107" s="8" t="s">
        <v>1597</v>
      </c>
      <c r="I107" s="8" t="s">
        <v>1598</v>
      </c>
      <c r="J107" s="8" t="s">
        <v>1599</v>
      </c>
      <c r="K107" s="8" t="s">
        <v>1539</v>
      </c>
      <c r="L107" s="9">
        <v>165.0</v>
      </c>
      <c r="M107" s="10">
        <v>757.0</v>
      </c>
      <c r="N107" s="11">
        <v>6.4</v>
      </c>
      <c r="O107" s="8" t="s">
        <v>1600</v>
      </c>
      <c r="P107" s="9">
        <v>6.0</v>
      </c>
      <c r="Q107" s="9">
        <v>750.0</v>
      </c>
      <c r="R107" s="11">
        <v>14.0</v>
      </c>
      <c r="S107" s="9">
        <v>28.0</v>
      </c>
      <c r="T107" s="11">
        <v>0.36</v>
      </c>
      <c r="U107" s="8" t="s">
        <v>1601</v>
      </c>
      <c r="V107" s="8" t="s">
        <v>1602</v>
      </c>
      <c r="W107" s="7" t="s">
        <v>1543</v>
      </c>
    </row>
    <row r="108" spans="8:8" ht="18.75" customHeight="1">
      <c r="A108" s="2" t="s">
        <v>1741</v>
      </c>
      <c r="B108" s="3" t="s">
        <v>1353</v>
      </c>
      <c r="C108" s="3" t="s">
        <v>805</v>
      </c>
      <c r="D108" s="3" t="s">
        <v>1731</v>
      </c>
      <c r="E108" s="3" t="s">
        <v>1294</v>
      </c>
      <c r="F108" s="4">
        <v>180.0</v>
      </c>
      <c r="G108" s="3" t="s">
        <v>1246</v>
      </c>
      <c r="H108" s="3" t="s">
        <v>1604</v>
      </c>
      <c r="I108" s="3" t="s">
        <v>1605</v>
      </c>
      <c r="J108" s="3" t="s">
        <v>1606</v>
      </c>
      <c r="K108" s="3" t="s">
        <v>1569</v>
      </c>
      <c r="L108" s="4">
        <v>160.0</v>
      </c>
      <c r="M108" s="5">
        <v>795.0</v>
      </c>
      <c r="N108" s="6">
        <v>6.2</v>
      </c>
      <c r="O108" s="3" t="s">
        <v>1607</v>
      </c>
      <c r="P108" s="4">
        <v>8.0</v>
      </c>
      <c r="Q108" s="4">
        <v>800.0</v>
      </c>
      <c r="R108" s="6">
        <v>12.0</v>
      </c>
      <c r="S108" s="4">
        <v>35.0</v>
      </c>
      <c r="T108" s="6">
        <v>0.43</v>
      </c>
      <c r="U108" s="3" t="s">
        <v>1608</v>
      </c>
      <c r="V108" s="3" t="s">
        <v>1609</v>
      </c>
      <c r="W108" s="2" t="s">
        <v>1543</v>
      </c>
    </row>
    <row r="109" spans="8:8" ht="18.75" customHeight="1">
      <c r="A109" s="7" t="s">
        <v>1742</v>
      </c>
      <c r="B109" s="8" t="s">
        <v>1353</v>
      </c>
      <c r="C109" s="8" t="s">
        <v>805</v>
      </c>
      <c r="D109" s="8" t="s">
        <v>1731</v>
      </c>
      <c r="E109" s="8" t="s">
        <v>1294</v>
      </c>
      <c r="F109" s="9">
        <v>180.0</v>
      </c>
      <c r="G109" s="8" t="s">
        <v>1246</v>
      </c>
      <c r="H109" s="8" t="s">
        <v>1611</v>
      </c>
      <c r="I109" s="8" t="s">
        <v>1612</v>
      </c>
      <c r="J109" s="8" t="s">
        <v>1606</v>
      </c>
      <c r="K109" s="8" t="s">
        <v>1613</v>
      </c>
      <c r="L109" s="9">
        <v>250.0</v>
      </c>
      <c r="M109" s="10">
        <v>1018.0</v>
      </c>
      <c r="N109" s="11">
        <v>5.9</v>
      </c>
      <c r="O109" s="8" t="s">
        <v>1614</v>
      </c>
      <c r="P109" s="9">
        <v>14.0</v>
      </c>
      <c r="Q109" s="9">
        <v>1000.0</v>
      </c>
      <c r="R109" s="11">
        <v>10.0</v>
      </c>
      <c r="S109" s="9">
        <v>55.0</v>
      </c>
      <c r="T109" s="11">
        <v>0.52</v>
      </c>
      <c r="U109" s="8" t="s">
        <v>1615</v>
      </c>
      <c r="V109" s="8" t="s">
        <v>1616</v>
      </c>
      <c r="W109" s="7" t="s">
        <v>1543</v>
      </c>
    </row>
    <row r="110" spans="8:8" ht="18.75" customHeight="1">
      <c r="A110" s="2" t="s">
        <v>1743</v>
      </c>
      <c r="B110" s="3" t="s">
        <v>1353</v>
      </c>
      <c r="C110" s="3" t="s">
        <v>805</v>
      </c>
      <c r="D110" s="3" t="s">
        <v>1731</v>
      </c>
      <c r="E110" s="3" t="s">
        <v>1294</v>
      </c>
      <c r="F110" s="4">
        <v>180.0</v>
      </c>
      <c r="G110" s="3" t="s">
        <v>1257</v>
      </c>
      <c r="H110" s="3" t="s">
        <v>1618</v>
      </c>
      <c r="I110" s="3" t="s">
        <v>1619</v>
      </c>
      <c r="J110" s="3" t="s">
        <v>1599</v>
      </c>
      <c r="K110" s="3" t="s">
        <v>1620</v>
      </c>
      <c r="L110" s="4">
        <v>360.0</v>
      </c>
      <c r="M110" s="5">
        <v>1600.0</v>
      </c>
      <c r="N110" s="6">
        <v>8.5</v>
      </c>
      <c r="O110" s="3" t="s">
        <v>1621</v>
      </c>
      <c r="P110" s="4">
        <v>23.0</v>
      </c>
      <c r="Q110" s="4">
        <v>1350.0</v>
      </c>
      <c r="R110" s="6">
        <v>6.0</v>
      </c>
      <c r="S110" s="4">
        <v>1050.0</v>
      </c>
      <c r="T110" s="6">
        <v>6.36</v>
      </c>
      <c r="U110" s="3" t="s">
        <v>1622</v>
      </c>
      <c r="V110" s="3" t="s">
        <v>1623</v>
      </c>
      <c r="W110" s="2" t="s">
        <v>1543</v>
      </c>
    </row>
    <row r="111" spans="8:8" ht="18.75" customHeight="1">
      <c r="A111" s="7" t="s">
        <v>1744</v>
      </c>
      <c r="B111" s="8" t="s">
        <v>1353</v>
      </c>
      <c r="C111" s="8" t="s">
        <v>805</v>
      </c>
      <c r="D111" s="8" t="s">
        <v>1731</v>
      </c>
      <c r="E111" s="8" t="s">
        <v>1294</v>
      </c>
      <c r="F111" s="9">
        <v>180.0</v>
      </c>
      <c r="G111" s="8" t="s">
        <v>1257</v>
      </c>
      <c r="H111" s="8" t="s">
        <v>1625</v>
      </c>
      <c r="I111" s="8" t="s">
        <v>1626</v>
      </c>
      <c r="J111" s="8" t="s">
        <v>1627</v>
      </c>
      <c r="K111" s="8" t="s">
        <v>1628</v>
      </c>
      <c r="L111" s="9">
        <v>340.0</v>
      </c>
      <c r="M111" s="10">
        <v>1474.0</v>
      </c>
      <c r="N111" s="11">
        <v>8.2</v>
      </c>
      <c r="O111" s="8" t="s">
        <v>1629</v>
      </c>
      <c r="P111" s="9">
        <v>29.0</v>
      </c>
      <c r="Q111" s="9">
        <v>1300.0</v>
      </c>
      <c r="R111" s="11">
        <v>6.5</v>
      </c>
      <c r="S111" s="9">
        <v>650.0</v>
      </c>
      <c r="T111" s="11">
        <v>4.28</v>
      </c>
      <c r="U111" s="8" t="s">
        <v>1630</v>
      </c>
      <c r="V111" s="8" t="s">
        <v>1631</v>
      </c>
      <c r="W111" s="7" t="s">
        <v>1543</v>
      </c>
    </row>
    <row r="112" spans="8:8" ht="18.75" customHeight="1">
      <c r="A112" s="2" t="s">
        <v>1745</v>
      </c>
      <c r="B112" s="3" t="s">
        <v>1353</v>
      </c>
      <c r="C112" s="3" t="s">
        <v>805</v>
      </c>
      <c r="D112" s="3" t="s">
        <v>1731</v>
      </c>
      <c r="E112" s="3" t="s">
        <v>1294</v>
      </c>
      <c r="F112" s="4">
        <v>180.0</v>
      </c>
      <c r="G112" s="3" t="s">
        <v>1257</v>
      </c>
      <c r="H112" s="3" t="s">
        <v>1633</v>
      </c>
      <c r="I112" s="3" t="s">
        <v>1593</v>
      </c>
      <c r="J112" s="3" t="s">
        <v>1568</v>
      </c>
      <c r="K112" s="3" t="s">
        <v>1634</v>
      </c>
      <c r="L112" s="4">
        <v>240.0</v>
      </c>
      <c r="M112" s="5">
        <v>1794.0</v>
      </c>
      <c r="N112" s="6">
        <v>9.0</v>
      </c>
      <c r="O112" s="3" t="s">
        <v>1635</v>
      </c>
      <c r="P112" s="4">
        <v>27.0</v>
      </c>
      <c r="Q112" s="4">
        <v>1500.0</v>
      </c>
      <c r="R112" s="6">
        <v>4.5</v>
      </c>
      <c r="S112" s="4">
        <v>120.0</v>
      </c>
      <c r="T112" s="6">
        <v>0.65</v>
      </c>
      <c r="U112" s="3" t="s">
        <v>1636</v>
      </c>
      <c r="V112" s="3" t="s">
        <v>1637</v>
      </c>
      <c r="W112" s="2" t="s">
        <v>1543</v>
      </c>
    </row>
    <row r="113" spans="8:8" ht="18.75" customHeight="1">
      <c r="A113" s="7" t="s">
        <v>1746</v>
      </c>
      <c r="B113" s="8" t="s">
        <v>1353</v>
      </c>
      <c r="C113" s="8" t="s">
        <v>805</v>
      </c>
      <c r="D113" s="8" t="s">
        <v>1731</v>
      </c>
      <c r="E113" s="8" t="s">
        <v>1294</v>
      </c>
      <c r="F113" s="9">
        <v>180.0</v>
      </c>
      <c r="G113" s="8" t="s">
        <v>1257</v>
      </c>
      <c r="H113" s="8" t="s">
        <v>1639</v>
      </c>
      <c r="I113" s="8" t="s">
        <v>1640</v>
      </c>
      <c r="J113" s="8" t="s">
        <v>1641</v>
      </c>
      <c r="K113" s="8" t="s">
        <v>1642</v>
      </c>
      <c r="L113" s="9">
        <v>365.0</v>
      </c>
      <c r="M113" s="10">
        <v>1436.0</v>
      </c>
      <c r="N113" s="11">
        <v>7.2</v>
      </c>
      <c r="O113" s="8" t="s">
        <v>1643</v>
      </c>
      <c r="P113" s="9">
        <v>21.0</v>
      </c>
      <c r="Q113" s="9">
        <v>1400.0</v>
      </c>
      <c r="R113" s="11">
        <v>6.0</v>
      </c>
      <c r="S113" s="9">
        <v>140.0</v>
      </c>
      <c r="T113" s="11">
        <v>0.95</v>
      </c>
      <c r="U113" s="8" t="s">
        <v>1644</v>
      </c>
      <c r="V113" s="8" t="s">
        <v>1645</v>
      </c>
      <c r="W113" s="7" t="s">
        <v>1543</v>
      </c>
    </row>
    <row r="114" spans="8:8" ht="18.75" customHeight="1">
      <c r="A114" s="2" t="s">
        <v>1747</v>
      </c>
      <c r="B114" s="3" t="s">
        <v>1375</v>
      </c>
      <c r="C114" s="3" t="s">
        <v>81</v>
      </c>
      <c r="D114" s="3" t="s">
        <v>1748</v>
      </c>
      <c r="E114" s="3" t="s">
        <v>1377</v>
      </c>
      <c r="F114" s="4">
        <v>175.0</v>
      </c>
      <c r="G114" s="3" t="s">
        <v>1222</v>
      </c>
      <c r="H114" s="3" t="s">
        <v>1536</v>
      </c>
      <c r="I114" s="3" t="s">
        <v>1537</v>
      </c>
      <c r="J114" s="3" t="s">
        <v>1538</v>
      </c>
      <c r="K114" s="3" t="s">
        <v>1539</v>
      </c>
      <c r="L114" s="4">
        <v>80.0</v>
      </c>
      <c r="M114" s="5">
        <v>304.0</v>
      </c>
      <c r="N114" s="6">
        <v>4.2</v>
      </c>
      <c r="O114" s="3" t="s">
        <v>1540</v>
      </c>
      <c r="P114" s="4">
        <v>1.0</v>
      </c>
      <c r="Q114" s="4">
        <v>280.0</v>
      </c>
      <c r="R114" s="6">
        <v>35.0</v>
      </c>
      <c r="S114" s="4">
        <v>24.0</v>
      </c>
      <c r="T114" s="6">
        <v>0.77</v>
      </c>
      <c r="U114" s="3" t="s">
        <v>1541</v>
      </c>
      <c r="V114" s="3" t="s">
        <v>1542</v>
      </c>
      <c r="W114" s="2" t="s">
        <v>1543</v>
      </c>
    </row>
    <row r="115" spans="8:8" ht="18.75" customHeight="1">
      <c r="A115" s="7" t="s">
        <v>1749</v>
      </c>
      <c r="B115" s="8" t="s">
        <v>1375</v>
      </c>
      <c r="C115" s="8" t="s">
        <v>81</v>
      </c>
      <c r="D115" s="8" t="s">
        <v>1748</v>
      </c>
      <c r="E115" s="8" t="s">
        <v>1377</v>
      </c>
      <c r="F115" s="9">
        <v>175.0</v>
      </c>
      <c r="G115" s="8" t="s">
        <v>1222</v>
      </c>
      <c r="H115" s="8" t="s">
        <v>1545</v>
      </c>
      <c r="I115" s="8" t="s">
        <v>1546</v>
      </c>
      <c r="J115" s="8" t="s">
        <v>1547</v>
      </c>
      <c r="K115" s="8" t="s">
        <v>1548</v>
      </c>
      <c r="L115" s="9">
        <v>105.0</v>
      </c>
      <c r="M115" s="10">
        <v>333.0</v>
      </c>
      <c r="N115" s="11">
        <v>3.8</v>
      </c>
      <c r="O115" s="8" t="s">
        <v>1549</v>
      </c>
      <c r="P115" s="9">
        <v>2.0</v>
      </c>
      <c r="Q115" s="9">
        <v>350.0</v>
      </c>
      <c r="R115" s="11">
        <v>28.0</v>
      </c>
      <c r="S115" s="9">
        <v>20.0</v>
      </c>
      <c r="T115" s="11">
        <v>0.59</v>
      </c>
      <c r="U115" s="8" t="s">
        <v>1550</v>
      </c>
      <c r="V115" s="8" t="s">
        <v>1551</v>
      </c>
      <c r="W115" s="7" t="s">
        <v>1543</v>
      </c>
    </row>
    <row r="116" spans="8:8" ht="18.75" customHeight="1">
      <c r="A116" s="2" t="s">
        <v>1750</v>
      </c>
      <c r="B116" s="3" t="s">
        <v>1375</v>
      </c>
      <c r="C116" s="3" t="s">
        <v>81</v>
      </c>
      <c r="D116" s="3" t="s">
        <v>1748</v>
      </c>
      <c r="E116" s="3" t="s">
        <v>1377</v>
      </c>
      <c r="F116" s="4">
        <v>175.0</v>
      </c>
      <c r="G116" s="3" t="s">
        <v>1222</v>
      </c>
      <c r="H116" s="3" t="s">
        <v>1553</v>
      </c>
      <c r="I116" s="3" t="s">
        <v>1554</v>
      </c>
      <c r="J116" s="3" t="s">
        <v>1538</v>
      </c>
      <c r="K116" s="3" t="s">
        <v>1539</v>
      </c>
      <c r="L116" s="4">
        <v>75.0</v>
      </c>
      <c r="M116" s="5">
        <v>270.0</v>
      </c>
      <c r="N116" s="6">
        <v>3.9</v>
      </c>
      <c r="O116" s="3" t="s">
        <v>1555</v>
      </c>
      <c r="P116" s="4">
        <v>1.0</v>
      </c>
      <c r="Q116" s="4">
        <v>250.0</v>
      </c>
      <c r="R116" s="6">
        <v>38.0</v>
      </c>
      <c r="S116" s="4">
        <v>18.0</v>
      </c>
      <c r="T116" s="6">
        <v>0.65</v>
      </c>
      <c r="U116" s="3" t="s">
        <v>1556</v>
      </c>
      <c r="V116" s="3" t="s">
        <v>1557</v>
      </c>
      <c r="W116" s="2" t="s">
        <v>1543</v>
      </c>
    </row>
    <row r="117" spans="8:8" ht="18.75" customHeight="1">
      <c r="A117" s="7" t="s">
        <v>1751</v>
      </c>
      <c r="B117" s="8" t="s">
        <v>1375</v>
      </c>
      <c r="C117" s="8" t="s">
        <v>81</v>
      </c>
      <c r="D117" s="8" t="s">
        <v>1748</v>
      </c>
      <c r="E117" s="8" t="s">
        <v>1377</v>
      </c>
      <c r="F117" s="9">
        <v>175.0</v>
      </c>
      <c r="G117" s="8" t="s">
        <v>1222</v>
      </c>
      <c r="H117" s="8" t="s">
        <v>1559</v>
      </c>
      <c r="I117" s="8" t="s">
        <v>1560</v>
      </c>
      <c r="J117" s="8" t="s">
        <v>1561</v>
      </c>
      <c r="K117" s="8" t="s">
        <v>1548</v>
      </c>
      <c r="L117" s="9">
        <v>110.0</v>
      </c>
      <c r="M117" s="10">
        <v>353.0</v>
      </c>
      <c r="N117" s="11">
        <v>4.0</v>
      </c>
      <c r="O117" s="8" t="s">
        <v>1562</v>
      </c>
      <c r="P117" s="9">
        <v>2.0</v>
      </c>
      <c r="Q117" s="9">
        <v>380.0</v>
      </c>
      <c r="R117" s="11">
        <v>30.0</v>
      </c>
      <c r="S117" s="9">
        <v>19.0</v>
      </c>
      <c r="T117" s="11">
        <v>0.53</v>
      </c>
      <c r="U117" s="8" t="s">
        <v>1563</v>
      </c>
      <c r="V117" s="8" t="s">
        <v>1564</v>
      </c>
      <c r="W117" s="7" t="s">
        <v>1543</v>
      </c>
    </row>
    <row r="118" spans="8:8" ht="18.75" customHeight="1">
      <c r="A118" s="2" t="s">
        <v>1752</v>
      </c>
      <c r="B118" s="3" t="s">
        <v>1375</v>
      </c>
      <c r="C118" s="3" t="s">
        <v>81</v>
      </c>
      <c r="D118" s="3" t="s">
        <v>1748</v>
      </c>
      <c r="E118" s="3" t="s">
        <v>1377</v>
      </c>
      <c r="F118" s="4">
        <v>175.0</v>
      </c>
      <c r="G118" s="3" t="s">
        <v>1235</v>
      </c>
      <c r="H118" s="3" t="s">
        <v>1566</v>
      </c>
      <c r="I118" s="3" t="s">
        <v>1567</v>
      </c>
      <c r="J118" s="3" t="s">
        <v>1568</v>
      </c>
      <c r="K118" s="3" t="s">
        <v>1569</v>
      </c>
      <c r="L118" s="4">
        <v>105.0</v>
      </c>
      <c r="M118" s="5">
        <v>529.0</v>
      </c>
      <c r="N118" s="6">
        <v>5.8</v>
      </c>
      <c r="O118" s="3" t="s">
        <v>1570</v>
      </c>
      <c r="P118" s="4">
        <v>4.0</v>
      </c>
      <c r="Q118" s="4">
        <v>580.0</v>
      </c>
      <c r="R118" s="6">
        <v>18.0</v>
      </c>
      <c r="S118" s="4">
        <v>62.0</v>
      </c>
      <c r="T118" s="6">
        <v>1.15</v>
      </c>
      <c r="U118" s="3" t="s">
        <v>1571</v>
      </c>
      <c r="V118" s="3" t="s">
        <v>1572</v>
      </c>
      <c r="W118" s="2" t="s">
        <v>1543</v>
      </c>
    </row>
    <row r="119" spans="8:8" ht="18.75" customHeight="1">
      <c r="A119" s="7" t="s">
        <v>1753</v>
      </c>
      <c r="B119" s="8" t="s">
        <v>1375</v>
      </c>
      <c r="C119" s="8" t="s">
        <v>81</v>
      </c>
      <c r="D119" s="8" t="s">
        <v>1748</v>
      </c>
      <c r="E119" s="8" t="s">
        <v>1377</v>
      </c>
      <c r="F119" s="9">
        <v>175.0</v>
      </c>
      <c r="G119" s="8" t="s">
        <v>1235</v>
      </c>
      <c r="H119" s="8" t="s">
        <v>1574</v>
      </c>
      <c r="I119" s="8" t="s">
        <v>1575</v>
      </c>
      <c r="J119" s="8" t="s">
        <v>1561</v>
      </c>
      <c r="K119" s="8" t="s">
        <v>1569</v>
      </c>
      <c r="L119" s="9">
        <v>110.0</v>
      </c>
      <c r="M119" s="10">
        <v>500.0</v>
      </c>
      <c r="N119" s="11">
        <v>5.2</v>
      </c>
      <c r="O119" s="8" t="s">
        <v>1576</v>
      </c>
      <c r="P119" s="9">
        <v>4.0</v>
      </c>
      <c r="Q119" s="9">
        <v>550.0</v>
      </c>
      <c r="R119" s="11">
        <v>16.0</v>
      </c>
      <c r="S119" s="9">
        <v>26.0</v>
      </c>
      <c r="T119" s="11">
        <v>0.51</v>
      </c>
      <c r="U119" s="8" t="s">
        <v>1577</v>
      </c>
      <c r="V119" s="8" t="s">
        <v>1578</v>
      </c>
      <c r="W119" s="7" t="s">
        <v>1543</v>
      </c>
    </row>
    <row r="120" spans="8:8" ht="18.75" customHeight="1">
      <c r="A120" s="2" t="s">
        <v>1754</v>
      </c>
      <c r="B120" s="3" t="s">
        <v>1375</v>
      </c>
      <c r="C120" s="3" t="s">
        <v>81</v>
      </c>
      <c r="D120" s="3" t="s">
        <v>1748</v>
      </c>
      <c r="E120" s="3" t="s">
        <v>1377</v>
      </c>
      <c r="F120" s="4">
        <v>175.0</v>
      </c>
      <c r="G120" s="3" t="s">
        <v>1235</v>
      </c>
      <c r="H120" s="3" t="s">
        <v>1580</v>
      </c>
      <c r="I120" s="3" t="s">
        <v>1581</v>
      </c>
      <c r="J120" s="3" t="s">
        <v>1547</v>
      </c>
      <c r="K120" s="3" t="s">
        <v>1539</v>
      </c>
      <c r="L120" s="4">
        <v>160.0</v>
      </c>
      <c r="M120" s="5">
        <v>549.0</v>
      </c>
      <c r="N120" s="6">
        <v>4.8</v>
      </c>
      <c r="O120" s="3" t="s">
        <v>1582</v>
      </c>
      <c r="P120" s="4">
        <v>3.0</v>
      </c>
      <c r="Q120" s="4">
        <v>600.0</v>
      </c>
      <c r="R120" s="6">
        <v>20.0</v>
      </c>
      <c r="S120" s="4">
        <v>18.0</v>
      </c>
      <c r="T120" s="6">
        <v>0.32</v>
      </c>
      <c r="U120" s="3" t="s">
        <v>1583</v>
      </c>
      <c r="V120" s="3" t="s">
        <v>1584</v>
      </c>
      <c r="W120" s="2" t="s">
        <v>1543</v>
      </c>
    </row>
    <row r="121" spans="8:8" ht="18.75" customHeight="1">
      <c r="A121" s="7" t="s">
        <v>1755</v>
      </c>
      <c r="B121" s="8" t="s">
        <v>1375</v>
      </c>
      <c r="C121" s="8" t="s">
        <v>81</v>
      </c>
      <c r="D121" s="8" t="s">
        <v>1748</v>
      </c>
      <c r="E121" s="8" t="s">
        <v>1377</v>
      </c>
      <c r="F121" s="9">
        <v>175.0</v>
      </c>
      <c r="G121" s="8" t="s">
        <v>1235</v>
      </c>
      <c r="H121" s="8" t="s">
        <v>1586</v>
      </c>
      <c r="I121" s="8" t="s">
        <v>1587</v>
      </c>
      <c r="J121" s="8" t="s">
        <v>1568</v>
      </c>
      <c r="K121" s="8" t="s">
        <v>1548</v>
      </c>
      <c r="L121" s="9">
        <v>120.0</v>
      </c>
      <c r="M121" s="10">
        <v>470.0</v>
      </c>
      <c r="N121" s="11">
        <v>4.6</v>
      </c>
      <c r="O121" s="8" t="s">
        <v>1588</v>
      </c>
      <c r="P121" s="9">
        <v>5.0</v>
      </c>
      <c r="Q121" s="9">
        <v>500.0</v>
      </c>
      <c r="R121" s="11">
        <v>18.0</v>
      </c>
      <c r="S121" s="9">
        <v>48.0</v>
      </c>
      <c r="T121" s="11">
        <v>1.0</v>
      </c>
      <c r="U121" s="8" t="s">
        <v>1589</v>
      </c>
      <c r="V121" s="8" t="s">
        <v>1590</v>
      </c>
      <c r="W121" s="7" t="s">
        <v>1543</v>
      </c>
    </row>
    <row r="122" spans="8:8" ht="18.75" customHeight="1">
      <c r="A122" s="2" t="s">
        <v>1756</v>
      </c>
      <c r="B122" s="3" t="s">
        <v>1375</v>
      </c>
      <c r="C122" s="3" t="s">
        <v>81</v>
      </c>
      <c r="D122" s="3" t="s">
        <v>1748</v>
      </c>
      <c r="E122" s="3" t="s">
        <v>1377</v>
      </c>
      <c r="F122" s="4">
        <v>175.0</v>
      </c>
      <c r="G122" s="3" t="s">
        <v>1246</v>
      </c>
      <c r="H122" s="3" t="s">
        <v>1592</v>
      </c>
      <c r="I122" s="3" t="s">
        <v>1593</v>
      </c>
      <c r="J122" s="3" t="s">
        <v>1568</v>
      </c>
      <c r="K122" s="3" t="s">
        <v>1569</v>
      </c>
      <c r="L122" s="4">
        <v>125.0</v>
      </c>
      <c r="M122" s="5">
        <v>902.0</v>
      </c>
      <c r="N122" s="6">
        <v>7.8</v>
      </c>
      <c r="O122" s="3" t="s">
        <v>1594</v>
      </c>
      <c r="P122" s="4">
        <v>12.0</v>
      </c>
      <c r="Q122" s="4">
        <v>950.0</v>
      </c>
      <c r="R122" s="6">
        <v>10.0</v>
      </c>
      <c r="S122" s="4">
        <v>64.0</v>
      </c>
      <c r="T122" s="6">
        <v>0.7</v>
      </c>
      <c r="U122" s="3" t="s">
        <v>1595</v>
      </c>
      <c r="V122" s="3" t="s">
        <v>1590</v>
      </c>
      <c r="W122" s="2" t="s">
        <v>1543</v>
      </c>
    </row>
    <row r="123" spans="8:8" ht="18.75" customHeight="1">
      <c r="A123" s="7" t="s">
        <v>1757</v>
      </c>
      <c r="B123" s="8" t="s">
        <v>1375</v>
      </c>
      <c r="C123" s="8" t="s">
        <v>81</v>
      </c>
      <c r="D123" s="8" t="s">
        <v>1748</v>
      </c>
      <c r="E123" s="8" t="s">
        <v>1377</v>
      </c>
      <c r="F123" s="9">
        <v>175.0</v>
      </c>
      <c r="G123" s="8" t="s">
        <v>1246</v>
      </c>
      <c r="H123" s="8" t="s">
        <v>1597</v>
      </c>
      <c r="I123" s="8" t="s">
        <v>1598</v>
      </c>
      <c r="J123" s="8" t="s">
        <v>1599</v>
      </c>
      <c r="K123" s="8" t="s">
        <v>1539</v>
      </c>
      <c r="L123" s="9">
        <v>165.0</v>
      </c>
      <c r="M123" s="10">
        <v>764.0</v>
      </c>
      <c r="N123" s="11">
        <v>6.4</v>
      </c>
      <c r="O123" s="8" t="s">
        <v>1600</v>
      </c>
      <c r="P123" s="9">
        <v>6.0</v>
      </c>
      <c r="Q123" s="9">
        <v>750.0</v>
      </c>
      <c r="R123" s="11">
        <v>14.0</v>
      </c>
      <c r="S123" s="9">
        <v>28.0</v>
      </c>
      <c r="T123" s="11">
        <v>0.36</v>
      </c>
      <c r="U123" s="8" t="s">
        <v>1601</v>
      </c>
      <c r="V123" s="8" t="s">
        <v>1602</v>
      </c>
      <c r="W123" s="7" t="s">
        <v>1543</v>
      </c>
    </row>
    <row r="124" spans="8:8" ht="18.75" customHeight="1">
      <c r="A124" s="2" t="s">
        <v>1758</v>
      </c>
      <c r="B124" s="3" t="s">
        <v>1375</v>
      </c>
      <c r="C124" s="3" t="s">
        <v>81</v>
      </c>
      <c r="D124" s="3" t="s">
        <v>1748</v>
      </c>
      <c r="E124" s="3" t="s">
        <v>1377</v>
      </c>
      <c r="F124" s="4">
        <v>175.0</v>
      </c>
      <c r="G124" s="3" t="s">
        <v>1246</v>
      </c>
      <c r="H124" s="3" t="s">
        <v>1604</v>
      </c>
      <c r="I124" s="3" t="s">
        <v>1605</v>
      </c>
      <c r="J124" s="3" t="s">
        <v>1606</v>
      </c>
      <c r="K124" s="3" t="s">
        <v>1569</v>
      </c>
      <c r="L124" s="4">
        <v>160.0</v>
      </c>
      <c r="M124" s="5">
        <v>804.0</v>
      </c>
      <c r="N124" s="6">
        <v>6.2</v>
      </c>
      <c r="O124" s="3" t="s">
        <v>1607</v>
      </c>
      <c r="P124" s="4">
        <v>8.0</v>
      </c>
      <c r="Q124" s="4">
        <v>800.0</v>
      </c>
      <c r="R124" s="6">
        <v>12.0</v>
      </c>
      <c r="S124" s="4">
        <v>35.0</v>
      </c>
      <c r="T124" s="6">
        <v>0.43</v>
      </c>
      <c r="U124" s="3" t="s">
        <v>1608</v>
      </c>
      <c r="V124" s="3" t="s">
        <v>1609</v>
      </c>
      <c r="W124" s="2" t="s">
        <v>1543</v>
      </c>
    </row>
    <row r="125" spans="8:8" ht="18.75" customHeight="1">
      <c r="A125" s="7" t="s">
        <v>1759</v>
      </c>
      <c r="B125" s="8" t="s">
        <v>1375</v>
      </c>
      <c r="C125" s="8" t="s">
        <v>81</v>
      </c>
      <c r="D125" s="8" t="s">
        <v>1748</v>
      </c>
      <c r="E125" s="8" t="s">
        <v>1377</v>
      </c>
      <c r="F125" s="9">
        <v>175.0</v>
      </c>
      <c r="G125" s="8" t="s">
        <v>1246</v>
      </c>
      <c r="H125" s="8" t="s">
        <v>1611</v>
      </c>
      <c r="I125" s="8" t="s">
        <v>1612</v>
      </c>
      <c r="J125" s="8" t="s">
        <v>1606</v>
      </c>
      <c r="K125" s="8" t="s">
        <v>1613</v>
      </c>
      <c r="L125" s="9">
        <v>250.0</v>
      </c>
      <c r="M125" s="10">
        <v>1029.0</v>
      </c>
      <c r="N125" s="11">
        <v>5.9</v>
      </c>
      <c r="O125" s="8" t="s">
        <v>1614</v>
      </c>
      <c r="P125" s="9">
        <v>14.0</v>
      </c>
      <c r="Q125" s="9">
        <v>1000.0</v>
      </c>
      <c r="R125" s="11">
        <v>10.0</v>
      </c>
      <c r="S125" s="9">
        <v>55.0</v>
      </c>
      <c r="T125" s="11">
        <v>0.52</v>
      </c>
      <c r="U125" s="8" t="s">
        <v>1615</v>
      </c>
      <c r="V125" s="8" t="s">
        <v>1616</v>
      </c>
      <c r="W125" s="7" t="s">
        <v>1543</v>
      </c>
    </row>
    <row r="126" spans="8:8" ht="18.75" customHeight="1">
      <c r="A126" s="2" t="s">
        <v>1760</v>
      </c>
      <c r="B126" s="3" t="s">
        <v>1375</v>
      </c>
      <c r="C126" s="3" t="s">
        <v>81</v>
      </c>
      <c r="D126" s="3" t="s">
        <v>1748</v>
      </c>
      <c r="E126" s="3" t="s">
        <v>1377</v>
      </c>
      <c r="F126" s="4">
        <v>175.0</v>
      </c>
      <c r="G126" s="3" t="s">
        <v>1257</v>
      </c>
      <c r="H126" s="3" t="s">
        <v>1618</v>
      </c>
      <c r="I126" s="3" t="s">
        <v>1619</v>
      </c>
      <c r="J126" s="3" t="s">
        <v>1599</v>
      </c>
      <c r="K126" s="3" t="s">
        <v>1620</v>
      </c>
      <c r="L126" s="4">
        <v>360.0</v>
      </c>
      <c r="M126" s="5">
        <v>1617.0</v>
      </c>
      <c r="N126" s="6">
        <v>8.5</v>
      </c>
      <c r="O126" s="3" t="s">
        <v>1621</v>
      </c>
      <c r="P126" s="4">
        <v>24.0</v>
      </c>
      <c r="Q126" s="4">
        <v>1350.0</v>
      </c>
      <c r="R126" s="6">
        <v>6.0</v>
      </c>
      <c r="S126" s="4">
        <v>1050.0</v>
      </c>
      <c r="T126" s="6">
        <v>6.36</v>
      </c>
      <c r="U126" s="3" t="s">
        <v>1622</v>
      </c>
      <c r="V126" s="3" t="s">
        <v>1623</v>
      </c>
      <c r="W126" s="2" t="s">
        <v>1543</v>
      </c>
    </row>
    <row r="127" spans="8:8" ht="18.75" customHeight="1">
      <c r="A127" s="7" t="s">
        <v>1761</v>
      </c>
      <c r="B127" s="8" t="s">
        <v>1375</v>
      </c>
      <c r="C127" s="8" t="s">
        <v>81</v>
      </c>
      <c r="D127" s="8" t="s">
        <v>1748</v>
      </c>
      <c r="E127" s="8" t="s">
        <v>1377</v>
      </c>
      <c r="F127" s="9">
        <v>175.0</v>
      </c>
      <c r="G127" s="8" t="s">
        <v>1257</v>
      </c>
      <c r="H127" s="8" t="s">
        <v>1625</v>
      </c>
      <c r="I127" s="8" t="s">
        <v>1626</v>
      </c>
      <c r="J127" s="8" t="s">
        <v>1627</v>
      </c>
      <c r="K127" s="8" t="s">
        <v>1628</v>
      </c>
      <c r="L127" s="9">
        <v>340.0</v>
      </c>
      <c r="M127" s="10">
        <v>1490.0</v>
      </c>
      <c r="N127" s="11">
        <v>8.2</v>
      </c>
      <c r="O127" s="8" t="s">
        <v>1629</v>
      </c>
      <c r="P127" s="9">
        <v>29.0</v>
      </c>
      <c r="Q127" s="9">
        <v>1300.0</v>
      </c>
      <c r="R127" s="11">
        <v>6.5</v>
      </c>
      <c r="S127" s="9">
        <v>650.0</v>
      </c>
      <c r="T127" s="11">
        <v>4.28</v>
      </c>
      <c r="U127" s="8" t="s">
        <v>1630</v>
      </c>
      <c r="V127" s="8" t="s">
        <v>1631</v>
      </c>
      <c r="W127" s="7" t="s">
        <v>1543</v>
      </c>
    </row>
    <row r="128" spans="8:8" ht="18.75" customHeight="1">
      <c r="A128" s="2" t="s">
        <v>1762</v>
      </c>
      <c r="B128" s="3" t="s">
        <v>1375</v>
      </c>
      <c r="C128" s="3" t="s">
        <v>81</v>
      </c>
      <c r="D128" s="3" t="s">
        <v>1748</v>
      </c>
      <c r="E128" s="3" t="s">
        <v>1377</v>
      </c>
      <c r="F128" s="4">
        <v>175.0</v>
      </c>
      <c r="G128" s="3" t="s">
        <v>1257</v>
      </c>
      <c r="H128" s="3" t="s">
        <v>1633</v>
      </c>
      <c r="I128" s="3" t="s">
        <v>1593</v>
      </c>
      <c r="J128" s="3" t="s">
        <v>1568</v>
      </c>
      <c r="K128" s="3" t="s">
        <v>1634</v>
      </c>
      <c r="L128" s="4">
        <v>240.0</v>
      </c>
      <c r="M128" s="5">
        <v>1813.0</v>
      </c>
      <c r="N128" s="6">
        <v>9.0</v>
      </c>
      <c r="O128" s="3" t="s">
        <v>1635</v>
      </c>
      <c r="P128" s="4">
        <v>27.0</v>
      </c>
      <c r="Q128" s="4">
        <v>1500.0</v>
      </c>
      <c r="R128" s="6">
        <v>4.5</v>
      </c>
      <c r="S128" s="4">
        <v>120.0</v>
      </c>
      <c r="T128" s="6">
        <v>0.65</v>
      </c>
      <c r="U128" s="3" t="s">
        <v>1636</v>
      </c>
      <c r="V128" s="3" t="s">
        <v>1637</v>
      </c>
      <c r="W128" s="2" t="s">
        <v>1543</v>
      </c>
    </row>
    <row r="129" spans="8:8" ht="18.75" customHeight="1">
      <c r="A129" s="7" t="s">
        <v>1763</v>
      </c>
      <c r="B129" s="8" t="s">
        <v>1375</v>
      </c>
      <c r="C129" s="8" t="s">
        <v>81</v>
      </c>
      <c r="D129" s="8" t="s">
        <v>1748</v>
      </c>
      <c r="E129" s="8" t="s">
        <v>1377</v>
      </c>
      <c r="F129" s="9">
        <v>175.0</v>
      </c>
      <c r="G129" s="8" t="s">
        <v>1257</v>
      </c>
      <c r="H129" s="8" t="s">
        <v>1639</v>
      </c>
      <c r="I129" s="8" t="s">
        <v>1640</v>
      </c>
      <c r="J129" s="8" t="s">
        <v>1641</v>
      </c>
      <c r="K129" s="8" t="s">
        <v>1642</v>
      </c>
      <c r="L129" s="9">
        <v>365.0</v>
      </c>
      <c r="M129" s="10">
        <v>1450.0</v>
      </c>
      <c r="N129" s="11">
        <v>7.2</v>
      </c>
      <c r="O129" s="8" t="s">
        <v>1643</v>
      </c>
      <c r="P129" s="9">
        <v>22.0</v>
      </c>
      <c r="Q129" s="9">
        <v>1400.0</v>
      </c>
      <c r="R129" s="11">
        <v>6.0</v>
      </c>
      <c r="S129" s="9">
        <v>140.0</v>
      </c>
      <c r="T129" s="11">
        <v>0.95</v>
      </c>
      <c r="U129" s="8" t="s">
        <v>1644</v>
      </c>
      <c r="V129" s="8" t="s">
        <v>1645</v>
      </c>
      <c r="W129" s="7" t="s">
        <v>1543</v>
      </c>
    </row>
    <row r="130" spans="8:8" ht="18.75" customHeight="1">
      <c r="A130" s="2" t="s">
        <v>1764</v>
      </c>
      <c r="B130" s="3" t="s">
        <v>1382</v>
      </c>
      <c r="C130" s="3" t="s">
        <v>1383</v>
      </c>
      <c r="D130" s="3" t="s">
        <v>1765</v>
      </c>
      <c r="E130" s="3" t="s">
        <v>1385</v>
      </c>
      <c r="F130" s="4">
        <v>140.0</v>
      </c>
      <c r="G130" s="3" t="s">
        <v>1222</v>
      </c>
      <c r="H130" s="3" t="s">
        <v>1536</v>
      </c>
      <c r="I130" s="3" t="s">
        <v>1537</v>
      </c>
      <c r="J130" s="3" t="s">
        <v>1538</v>
      </c>
      <c r="K130" s="3" t="s">
        <v>1539</v>
      </c>
      <c r="L130" s="4">
        <v>80.0</v>
      </c>
      <c r="M130" s="5">
        <v>316.0</v>
      </c>
      <c r="N130" s="6">
        <v>4.2</v>
      </c>
      <c r="O130" s="3" t="s">
        <v>1540</v>
      </c>
      <c r="P130" s="4">
        <v>1.0</v>
      </c>
      <c r="Q130" s="4">
        <v>280.0</v>
      </c>
      <c r="R130" s="6">
        <v>35.0</v>
      </c>
      <c r="S130" s="4">
        <v>24.0</v>
      </c>
      <c r="T130" s="6">
        <v>0.77</v>
      </c>
      <c r="U130" s="3" t="s">
        <v>1541</v>
      </c>
      <c r="V130" s="3" t="s">
        <v>1542</v>
      </c>
      <c r="W130" s="2" t="s">
        <v>1543</v>
      </c>
    </row>
    <row r="131" spans="8:8" ht="18.75" customHeight="1">
      <c r="A131" s="7" t="s">
        <v>1766</v>
      </c>
      <c r="B131" s="8" t="s">
        <v>1382</v>
      </c>
      <c r="C131" s="8" t="s">
        <v>1383</v>
      </c>
      <c r="D131" s="8" t="s">
        <v>1765</v>
      </c>
      <c r="E131" s="8" t="s">
        <v>1385</v>
      </c>
      <c r="F131" s="9">
        <v>140.0</v>
      </c>
      <c r="G131" s="8" t="s">
        <v>1222</v>
      </c>
      <c r="H131" s="8" t="s">
        <v>1545</v>
      </c>
      <c r="I131" s="8" t="s">
        <v>1546</v>
      </c>
      <c r="J131" s="8" t="s">
        <v>1547</v>
      </c>
      <c r="K131" s="8" t="s">
        <v>1548</v>
      </c>
      <c r="L131" s="9">
        <v>105.0</v>
      </c>
      <c r="M131" s="10">
        <v>347.0</v>
      </c>
      <c r="N131" s="11">
        <v>3.8</v>
      </c>
      <c r="O131" s="8" t="s">
        <v>1549</v>
      </c>
      <c r="P131" s="9">
        <v>2.0</v>
      </c>
      <c r="Q131" s="9">
        <v>350.0</v>
      </c>
      <c r="R131" s="11">
        <v>28.0</v>
      </c>
      <c r="S131" s="9">
        <v>20.0</v>
      </c>
      <c r="T131" s="11">
        <v>0.59</v>
      </c>
      <c r="U131" s="8" t="s">
        <v>1550</v>
      </c>
      <c r="V131" s="8" t="s">
        <v>1551</v>
      </c>
      <c r="W131" s="7" t="s">
        <v>1543</v>
      </c>
    </row>
    <row r="132" spans="8:8" ht="18.75" customHeight="1">
      <c r="A132" s="2" t="s">
        <v>1767</v>
      </c>
      <c r="B132" s="3" t="s">
        <v>1382</v>
      </c>
      <c r="C132" s="3" t="s">
        <v>1383</v>
      </c>
      <c r="D132" s="3" t="s">
        <v>1765</v>
      </c>
      <c r="E132" s="3" t="s">
        <v>1385</v>
      </c>
      <c r="F132" s="4">
        <v>140.0</v>
      </c>
      <c r="G132" s="3" t="s">
        <v>1222</v>
      </c>
      <c r="H132" s="3" t="s">
        <v>1553</v>
      </c>
      <c r="I132" s="3" t="s">
        <v>1554</v>
      </c>
      <c r="J132" s="3" t="s">
        <v>1538</v>
      </c>
      <c r="K132" s="3" t="s">
        <v>1539</v>
      </c>
      <c r="L132" s="4">
        <v>75.0</v>
      </c>
      <c r="M132" s="5">
        <v>280.0</v>
      </c>
      <c r="N132" s="6">
        <v>3.9</v>
      </c>
      <c r="O132" s="3" t="s">
        <v>1555</v>
      </c>
      <c r="P132" s="4">
        <v>1.0</v>
      </c>
      <c r="Q132" s="4">
        <v>250.0</v>
      </c>
      <c r="R132" s="6">
        <v>38.0</v>
      </c>
      <c r="S132" s="4">
        <v>18.0</v>
      </c>
      <c r="T132" s="6">
        <v>0.65</v>
      </c>
      <c r="U132" s="3" t="s">
        <v>1556</v>
      </c>
      <c r="V132" s="3" t="s">
        <v>1557</v>
      </c>
      <c r="W132" s="2" t="s">
        <v>1543</v>
      </c>
    </row>
    <row r="133" spans="8:8" ht="18.75" customHeight="1">
      <c r="A133" s="7" t="s">
        <v>1768</v>
      </c>
      <c r="B133" s="8" t="s">
        <v>1382</v>
      </c>
      <c r="C133" s="8" t="s">
        <v>1383</v>
      </c>
      <c r="D133" s="8" t="s">
        <v>1765</v>
      </c>
      <c r="E133" s="8" t="s">
        <v>1385</v>
      </c>
      <c r="F133" s="9">
        <v>140.0</v>
      </c>
      <c r="G133" s="8" t="s">
        <v>1222</v>
      </c>
      <c r="H133" s="8" t="s">
        <v>1559</v>
      </c>
      <c r="I133" s="8" t="s">
        <v>1560</v>
      </c>
      <c r="J133" s="8" t="s">
        <v>1561</v>
      </c>
      <c r="K133" s="8" t="s">
        <v>1548</v>
      </c>
      <c r="L133" s="9">
        <v>110.0</v>
      </c>
      <c r="M133" s="10">
        <v>367.0</v>
      </c>
      <c r="N133" s="11">
        <v>4.0</v>
      </c>
      <c r="O133" s="8" t="s">
        <v>1562</v>
      </c>
      <c r="P133" s="9">
        <v>2.0</v>
      </c>
      <c r="Q133" s="9">
        <v>380.0</v>
      </c>
      <c r="R133" s="11">
        <v>30.0</v>
      </c>
      <c r="S133" s="9">
        <v>19.0</v>
      </c>
      <c r="T133" s="11">
        <v>0.53</v>
      </c>
      <c r="U133" s="8" t="s">
        <v>1563</v>
      </c>
      <c r="V133" s="8" t="s">
        <v>1564</v>
      </c>
      <c r="W133" s="7" t="s">
        <v>1543</v>
      </c>
    </row>
    <row r="134" spans="8:8" ht="18.75" customHeight="1">
      <c r="A134" s="2" t="s">
        <v>1769</v>
      </c>
      <c r="B134" s="3" t="s">
        <v>1382</v>
      </c>
      <c r="C134" s="3" t="s">
        <v>1383</v>
      </c>
      <c r="D134" s="3" t="s">
        <v>1765</v>
      </c>
      <c r="E134" s="3" t="s">
        <v>1385</v>
      </c>
      <c r="F134" s="4">
        <v>140.0</v>
      </c>
      <c r="G134" s="3" t="s">
        <v>1235</v>
      </c>
      <c r="H134" s="3" t="s">
        <v>1566</v>
      </c>
      <c r="I134" s="3" t="s">
        <v>1567</v>
      </c>
      <c r="J134" s="3" t="s">
        <v>1568</v>
      </c>
      <c r="K134" s="3" t="s">
        <v>1569</v>
      </c>
      <c r="L134" s="4">
        <v>105.0</v>
      </c>
      <c r="M134" s="5">
        <v>551.0</v>
      </c>
      <c r="N134" s="6">
        <v>5.8</v>
      </c>
      <c r="O134" s="3" t="s">
        <v>1570</v>
      </c>
      <c r="P134" s="4">
        <v>4.0</v>
      </c>
      <c r="Q134" s="4">
        <v>580.0</v>
      </c>
      <c r="R134" s="6">
        <v>18.0</v>
      </c>
      <c r="S134" s="4">
        <v>62.0</v>
      </c>
      <c r="T134" s="6">
        <v>1.15</v>
      </c>
      <c r="U134" s="3" t="s">
        <v>1571</v>
      </c>
      <c r="V134" s="3" t="s">
        <v>1572</v>
      </c>
      <c r="W134" s="2" t="s">
        <v>1543</v>
      </c>
    </row>
    <row r="135" spans="8:8" ht="18.75" customHeight="1">
      <c r="A135" s="7" t="s">
        <v>1770</v>
      </c>
      <c r="B135" s="8" t="s">
        <v>1382</v>
      </c>
      <c r="C135" s="8" t="s">
        <v>1383</v>
      </c>
      <c r="D135" s="8" t="s">
        <v>1765</v>
      </c>
      <c r="E135" s="8" t="s">
        <v>1385</v>
      </c>
      <c r="F135" s="9">
        <v>140.0</v>
      </c>
      <c r="G135" s="8" t="s">
        <v>1235</v>
      </c>
      <c r="H135" s="8" t="s">
        <v>1574</v>
      </c>
      <c r="I135" s="8" t="s">
        <v>1575</v>
      </c>
      <c r="J135" s="8" t="s">
        <v>1561</v>
      </c>
      <c r="K135" s="8" t="s">
        <v>1569</v>
      </c>
      <c r="L135" s="9">
        <v>110.0</v>
      </c>
      <c r="M135" s="10">
        <v>520.0</v>
      </c>
      <c r="N135" s="11">
        <v>5.2</v>
      </c>
      <c r="O135" s="8" t="s">
        <v>1576</v>
      </c>
      <c r="P135" s="9">
        <v>4.0</v>
      </c>
      <c r="Q135" s="9">
        <v>550.0</v>
      </c>
      <c r="R135" s="11">
        <v>16.0</v>
      </c>
      <c r="S135" s="9">
        <v>26.0</v>
      </c>
      <c r="T135" s="11">
        <v>0.51</v>
      </c>
      <c r="U135" s="8" t="s">
        <v>1577</v>
      </c>
      <c r="V135" s="8" t="s">
        <v>1578</v>
      </c>
      <c r="W135" s="7" t="s">
        <v>1543</v>
      </c>
    </row>
    <row r="136" spans="8:8" ht="18.75" customHeight="1">
      <c r="A136" s="2" t="s">
        <v>1771</v>
      </c>
      <c r="B136" s="3" t="s">
        <v>1382</v>
      </c>
      <c r="C136" s="3" t="s">
        <v>1383</v>
      </c>
      <c r="D136" s="3" t="s">
        <v>1765</v>
      </c>
      <c r="E136" s="3" t="s">
        <v>1385</v>
      </c>
      <c r="F136" s="4">
        <v>140.0</v>
      </c>
      <c r="G136" s="3" t="s">
        <v>1235</v>
      </c>
      <c r="H136" s="3" t="s">
        <v>1580</v>
      </c>
      <c r="I136" s="3" t="s">
        <v>1581</v>
      </c>
      <c r="J136" s="3" t="s">
        <v>1547</v>
      </c>
      <c r="K136" s="3" t="s">
        <v>1539</v>
      </c>
      <c r="L136" s="4">
        <v>160.0</v>
      </c>
      <c r="M136" s="5">
        <v>571.0</v>
      </c>
      <c r="N136" s="6">
        <v>4.8</v>
      </c>
      <c r="O136" s="3" t="s">
        <v>1582</v>
      </c>
      <c r="P136" s="4">
        <v>3.0</v>
      </c>
      <c r="Q136" s="4">
        <v>600.0</v>
      </c>
      <c r="R136" s="6">
        <v>20.0</v>
      </c>
      <c r="S136" s="4">
        <v>18.0</v>
      </c>
      <c r="T136" s="6">
        <v>0.32</v>
      </c>
      <c r="U136" s="3" t="s">
        <v>1583</v>
      </c>
      <c r="V136" s="3" t="s">
        <v>1584</v>
      </c>
      <c r="W136" s="2" t="s">
        <v>1543</v>
      </c>
    </row>
    <row r="137" spans="8:8" ht="18.75" customHeight="1">
      <c r="A137" s="7" t="s">
        <v>1772</v>
      </c>
      <c r="B137" s="8" t="s">
        <v>1382</v>
      </c>
      <c r="C137" s="8" t="s">
        <v>1383</v>
      </c>
      <c r="D137" s="8" t="s">
        <v>1765</v>
      </c>
      <c r="E137" s="8" t="s">
        <v>1385</v>
      </c>
      <c r="F137" s="9">
        <v>140.0</v>
      </c>
      <c r="G137" s="8" t="s">
        <v>1235</v>
      </c>
      <c r="H137" s="8" t="s">
        <v>1586</v>
      </c>
      <c r="I137" s="8" t="s">
        <v>1587</v>
      </c>
      <c r="J137" s="8" t="s">
        <v>1568</v>
      </c>
      <c r="K137" s="8" t="s">
        <v>1548</v>
      </c>
      <c r="L137" s="9">
        <v>120.0</v>
      </c>
      <c r="M137" s="10">
        <v>490.0</v>
      </c>
      <c r="N137" s="11">
        <v>4.6</v>
      </c>
      <c r="O137" s="8" t="s">
        <v>1588</v>
      </c>
      <c r="P137" s="9">
        <v>5.0</v>
      </c>
      <c r="Q137" s="9">
        <v>500.0</v>
      </c>
      <c r="R137" s="11">
        <v>18.0</v>
      </c>
      <c r="S137" s="9">
        <v>48.0</v>
      </c>
      <c r="T137" s="11">
        <v>1.0</v>
      </c>
      <c r="U137" s="8" t="s">
        <v>1589</v>
      </c>
      <c r="V137" s="8" t="s">
        <v>1590</v>
      </c>
      <c r="W137" s="7" t="s">
        <v>1543</v>
      </c>
    </row>
    <row r="138" spans="8:8" ht="18.75" customHeight="1">
      <c r="A138" s="2" t="s">
        <v>1773</v>
      </c>
      <c r="B138" s="3" t="s">
        <v>1382</v>
      </c>
      <c r="C138" s="3" t="s">
        <v>1383</v>
      </c>
      <c r="D138" s="3" t="s">
        <v>1765</v>
      </c>
      <c r="E138" s="3" t="s">
        <v>1385</v>
      </c>
      <c r="F138" s="4">
        <v>140.0</v>
      </c>
      <c r="G138" s="3" t="s">
        <v>1246</v>
      </c>
      <c r="H138" s="3" t="s">
        <v>1592</v>
      </c>
      <c r="I138" s="3" t="s">
        <v>1593</v>
      </c>
      <c r="J138" s="3" t="s">
        <v>1568</v>
      </c>
      <c r="K138" s="3" t="s">
        <v>1569</v>
      </c>
      <c r="L138" s="4">
        <v>125.0</v>
      </c>
      <c r="M138" s="5">
        <v>938.0</v>
      </c>
      <c r="N138" s="6">
        <v>7.8</v>
      </c>
      <c r="O138" s="3" t="s">
        <v>1594</v>
      </c>
      <c r="P138" s="4">
        <v>12.0</v>
      </c>
      <c r="Q138" s="4">
        <v>950.0</v>
      </c>
      <c r="R138" s="6">
        <v>10.0</v>
      </c>
      <c r="S138" s="4">
        <v>64.0</v>
      </c>
      <c r="T138" s="6">
        <v>0.7</v>
      </c>
      <c r="U138" s="3" t="s">
        <v>1595</v>
      </c>
      <c r="V138" s="3" t="s">
        <v>1590</v>
      </c>
      <c r="W138" s="2" t="s">
        <v>1543</v>
      </c>
    </row>
    <row r="139" spans="8:8" ht="18.75" customHeight="1">
      <c r="A139" s="7" t="s">
        <v>1774</v>
      </c>
      <c r="B139" s="8" t="s">
        <v>1382</v>
      </c>
      <c r="C139" s="8" t="s">
        <v>1383</v>
      </c>
      <c r="D139" s="8" t="s">
        <v>1765</v>
      </c>
      <c r="E139" s="8" t="s">
        <v>1385</v>
      </c>
      <c r="F139" s="9">
        <v>140.0</v>
      </c>
      <c r="G139" s="8" t="s">
        <v>1246</v>
      </c>
      <c r="H139" s="8" t="s">
        <v>1597</v>
      </c>
      <c r="I139" s="8" t="s">
        <v>1598</v>
      </c>
      <c r="J139" s="8" t="s">
        <v>1599</v>
      </c>
      <c r="K139" s="8" t="s">
        <v>1539</v>
      </c>
      <c r="L139" s="9">
        <v>165.0</v>
      </c>
      <c r="M139" s="10">
        <v>796.0</v>
      </c>
      <c r="N139" s="11">
        <v>6.4</v>
      </c>
      <c r="O139" s="8" t="s">
        <v>1600</v>
      </c>
      <c r="P139" s="9">
        <v>6.0</v>
      </c>
      <c r="Q139" s="9">
        <v>750.0</v>
      </c>
      <c r="R139" s="11">
        <v>14.0</v>
      </c>
      <c r="S139" s="9">
        <v>28.0</v>
      </c>
      <c r="T139" s="11">
        <v>0.36</v>
      </c>
      <c r="U139" s="8" t="s">
        <v>1601</v>
      </c>
      <c r="V139" s="8" t="s">
        <v>1602</v>
      </c>
      <c r="W139" s="7" t="s">
        <v>1543</v>
      </c>
    </row>
    <row r="140" spans="8:8" ht="18.75" customHeight="1">
      <c r="A140" s="2" t="s">
        <v>1775</v>
      </c>
      <c r="B140" s="3" t="s">
        <v>1382</v>
      </c>
      <c r="C140" s="3" t="s">
        <v>1383</v>
      </c>
      <c r="D140" s="3" t="s">
        <v>1765</v>
      </c>
      <c r="E140" s="3" t="s">
        <v>1385</v>
      </c>
      <c r="F140" s="4">
        <v>140.0</v>
      </c>
      <c r="G140" s="3" t="s">
        <v>1246</v>
      </c>
      <c r="H140" s="3" t="s">
        <v>1604</v>
      </c>
      <c r="I140" s="3" t="s">
        <v>1605</v>
      </c>
      <c r="J140" s="3" t="s">
        <v>1606</v>
      </c>
      <c r="K140" s="3" t="s">
        <v>1569</v>
      </c>
      <c r="L140" s="4">
        <v>160.0</v>
      </c>
      <c r="M140" s="5">
        <v>836.0</v>
      </c>
      <c r="N140" s="6">
        <v>6.2</v>
      </c>
      <c r="O140" s="3" t="s">
        <v>1607</v>
      </c>
      <c r="P140" s="4">
        <v>8.0</v>
      </c>
      <c r="Q140" s="4">
        <v>800.0</v>
      </c>
      <c r="R140" s="6">
        <v>12.0</v>
      </c>
      <c r="S140" s="4">
        <v>35.0</v>
      </c>
      <c r="T140" s="6">
        <v>0.43</v>
      </c>
      <c r="U140" s="3" t="s">
        <v>1608</v>
      </c>
      <c r="V140" s="3" t="s">
        <v>1609</v>
      </c>
      <c r="W140" s="2" t="s">
        <v>1543</v>
      </c>
    </row>
    <row r="141" spans="8:8" ht="18.75" customHeight="1">
      <c r="A141" s="7" t="s">
        <v>1776</v>
      </c>
      <c r="B141" s="8" t="s">
        <v>1382</v>
      </c>
      <c r="C141" s="8" t="s">
        <v>1383</v>
      </c>
      <c r="D141" s="8" t="s">
        <v>1765</v>
      </c>
      <c r="E141" s="8" t="s">
        <v>1385</v>
      </c>
      <c r="F141" s="9">
        <v>140.0</v>
      </c>
      <c r="G141" s="8" t="s">
        <v>1246</v>
      </c>
      <c r="H141" s="8" t="s">
        <v>1611</v>
      </c>
      <c r="I141" s="8" t="s">
        <v>1612</v>
      </c>
      <c r="J141" s="8" t="s">
        <v>1606</v>
      </c>
      <c r="K141" s="8" t="s">
        <v>1613</v>
      </c>
      <c r="L141" s="9">
        <v>250.0</v>
      </c>
      <c r="M141" s="10">
        <v>1071.0</v>
      </c>
      <c r="N141" s="11">
        <v>5.9</v>
      </c>
      <c r="O141" s="8" t="s">
        <v>1614</v>
      </c>
      <c r="P141" s="9">
        <v>14.0</v>
      </c>
      <c r="Q141" s="9">
        <v>1000.0</v>
      </c>
      <c r="R141" s="11">
        <v>10.0</v>
      </c>
      <c r="S141" s="9">
        <v>55.0</v>
      </c>
      <c r="T141" s="11">
        <v>0.52</v>
      </c>
      <c r="U141" s="8" t="s">
        <v>1615</v>
      </c>
      <c r="V141" s="8" t="s">
        <v>1616</v>
      </c>
      <c r="W141" s="7" t="s">
        <v>1543</v>
      </c>
    </row>
    <row r="142" spans="8:8" ht="18.75" customHeight="1">
      <c r="A142" s="2" t="s">
        <v>1777</v>
      </c>
      <c r="B142" s="3" t="s">
        <v>1382</v>
      </c>
      <c r="C142" s="3" t="s">
        <v>1383</v>
      </c>
      <c r="D142" s="3" t="s">
        <v>1765</v>
      </c>
      <c r="E142" s="3" t="s">
        <v>1385</v>
      </c>
      <c r="F142" s="4">
        <v>140.0</v>
      </c>
      <c r="G142" s="3" t="s">
        <v>1257</v>
      </c>
      <c r="H142" s="3" t="s">
        <v>1618</v>
      </c>
      <c r="I142" s="3" t="s">
        <v>1619</v>
      </c>
      <c r="J142" s="3" t="s">
        <v>1599</v>
      </c>
      <c r="K142" s="3" t="s">
        <v>1620</v>
      </c>
      <c r="L142" s="4">
        <v>360.0</v>
      </c>
      <c r="M142" s="5">
        <v>1683.0</v>
      </c>
      <c r="N142" s="6">
        <v>8.5</v>
      </c>
      <c r="O142" s="3" t="s">
        <v>1621</v>
      </c>
      <c r="P142" s="4">
        <v>24.0</v>
      </c>
      <c r="Q142" s="4">
        <v>1350.0</v>
      </c>
      <c r="R142" s="6">
        <v>6.0</v>
      </c>
      <c r="S142" s="4">
        <v>1050.0</v>
      </c>
      <c r="T142" s="6">
        <v>6.36</v>
      </c>
      <c r="U142" s="3" t="s">
        <v>1622</v>
      </c>
      <c r="V142" s="3" t="s">
        <v>1623</v>
      </c>
      <c r="W142" s="2" t="s">
        <v>1543</v>
      </c>
    </row>
    <row r="143" spans="8:8" ht="18.75" customHeight="1">
      <c r="A143" s="7" t="s">
        <v>1778</v>
      </c>
      <c r="B143" s="8" t="s">
        <v>1382</v>
      </c>
      <c r="C143" s="8" t="s">
        <v>1383</v>
      </c>
      <c r="D143" s="8" t="s">
        <v>1765</v>
      </c>
      <c r="E143" s="8" t="s">
        <v>1385</v>
      </c>
      <c r="F143" s="9">
        <v>140.0</v>
      </c>
      <c r="G143" s="8" t="s">
        <v>1257</v>
      </c>
      <c r="H143" s="8" t="s">
        <v>1625</v>
      </c>
      <c r="I143" s="8" t="s">
        <v>1626</v>
      </c>
      <c r="J143" s="8" t="s">
        <v>1627</v>
      </c>
      <c r="K143" s="8" t="s">
        <v>1628</v>
      </c>
      <c r="L143" s="9">
        <v>340.0</v>
      </c>
      <c r="M143" s="10">
        <v>1550.0</v>
      </c>
      <c r="N143" s="11">
        <v>8.2</v>
      </c>
      <c r="O143" s="8" t="s">
        <v>1629</v>
      </c>
      <c r="P143" s="9">
        <v>31.0</v>
      </c>
      <c r="Q143" s="9">
        <v>1300.0</v>
      </c>
      <c r="R143" s="11">
        <v>6.5</v>
      </c>
      <c r="S143" s="9">
        <v>650.0</v>
      </c>
      <c r="T143" s="11">
        <v>4.28</v>
      </c>
      <c r="U143" s="8" t="s">
        <v>1630</v>
      </c>
      <c r="V143" s="8" t="s">
        <v>1631</v>
      </c>
      <c r="W143" s="7" t="s">
        <v>1543</v>
      </c>
    </row>
    <row r="144" spans="8:8" ht="18.75" customHeight="1">
      <c r="A144" s="2" t="s">
        <v>1779</v>
      </c>
      <c r="B144" s="3" t="s">
        <v>1382</v>
      </c>
      <c r="C144" s="3" t="s">
        <v>1383</v>
      </c>
      <c r="D144" s="3" t="s">
        <v>1765</v>
      </c>
      <c r="E144" s="3" t="s">
        <v>1385</v>
      </c>
      <c r="F144" s="4">
        <v>140.0</v>
      </c>
      <c r="G144" s="3" t="s">
        <v>1257</v>
      </c>
      <c r="H144" s="3" t="s">
        <v>1633</v>
      </c>
      <c r="I144" s="3" t="s">
        <v>1593</v>
      </c>
      <c r="J144" s="3" t="s">
        <v>1568</v>
      </c>
      <c r="K144" s="3" t="s">
        <v>1634</v>
      </c>
      <c r="L144" s="4">
        <v>240.0</v>
      </c>
      <c r="M144" s="5">
        <v>1887.0</v>
      </c>
      <c r="N144" s="6">
        <v>9.0</v>
      </c>
      <c r="O144" s="3" t="s">
        <v>1635</v>
      </c>
      <c r="P144" s="4">
        <v>29.0</v>
      </c>
      <c r="Q144" s="4">
        <v>1500.0</v>
      </c>
      <c r="R144" s="6">
        <v>4.5</v>
      </c>
      <c r="S144" s="4">
        <v>120.0</v>
      </c>
      <c r="T144" s="6">
        <v>0.65</v>
      </c>
      <c r="U144" s="3" t="s">
        <v>1636</v>
      </c>
      <c r="V144" s="3" t="s">
        <v>1637</v>
      </c>
      <c r="W144" s="2" t="s">
        <v>1543</v>
      </c>
    </row>
    <row r="145" spans="8:8" ht="18.75" customHeight="1">
      <c r="A145" s="7" t="s">
        <v>1780</v>
      </c>
      <c r="B145" s="8" t="s">
        <v>1382</v>
      </c>
      <c r="C145" s="8" t="s">
        <v>1383</v>
      </c>
      <c r="D145" s="8" t="s">
        <v>1765</v>
      </c>
      <c r="E145" s="8" t="s">
        <v>1385</v>
      </c>
      <c r="F145" s="9">
        <v>140.0</v>
      </c>
      <c r="G145" s="8" t="s">
        <v>1257</v>
      </c>
      <c r="H145" s="8" t="s">
        <v>1639</v>
      </c>
      <c r="I145" s="8" t="s">
        <v>1640</v>
      </c>
      <c r="J145" s="8" t="s">
        <v>1641</v>
      </c>
      <c r="K145" s="8" t="s">
        <v>1642</v>
      </c>
      <c r="L145" s="9">
        <v>365.0</v>
      </c>
      <c r="M145" s="10">
        <v>1510.0</v>
      </c>
      <c r="N145" s="11">
        <v>7.2</v>
      </c>
      <c r="O145" s="8" t="s">
        <v>1643</v>
      </c>
      <c r="P145" s="9">
        <v>22.0</v>
      </c>
      <c r="Q145" s="9">
        <v>1400.0</v>
      </c>
      <c r="R145" s="11">
        <v>6.0</v>
      </c>
      <c r="S145" s="9">
        <v>140.0</v>
      </c>
      <c r="T145" s="11">
        <v>0.95</v>
      </c>
      <c r="U145" s="8" t="s">
        <v>1644</v>
      </c>
      <c r="V145" s="8" t="s">
        <v>1645</v>
      </c>
      <c r="W145" s="7" t="s">
        <v>1543</v>
      </c>
    </row>
    <row r="146" spans="8:8" ht="18.75" customHeight="1">
      <c r="A146" s="2" t="s">
        <v>1781</v>
      </c>
      <c r="B146" s="3" t="s">
        <v>1407</v>
      </c>
      <c r="C146" s="3" t="s">
        <v>594</v>
      </c>
      <c r="D146" s="3" t="s">
        <v>1782</v>
      </c>
      <c r="E146" s="3" t="s">
        <v>1409</v>
      </c>
      <c r="F146" s="4">
        <v>65.0</v>
      </c>
      <c r="G146" s="3" t="s">
        <v>1222</v>
      </c>
      <c r="H146" s="3" t="s">
        <v>1536</v>
      </c>
      <c r="I146" s="3" t="s">
        <v>1537</v>
      </c>
      <c r="J146" s="3" t="s">
        <v>1538</v>
      </c>
      <c r="K146" s="3" t="s">
        <v>1539</v>
      </c>
      <c r="L146" s="4">
        <v>80.0</v>
      </c>
      <c r="M146" s="5">
        <v>347.0</v>
      </c>
      <c r="N146" s="6">
        <v>4.2</v>
      </c>
      <c r="O146" s="3" t="s">
        <v>1540</v>
      </c>
      <c r="P146" s="4">
        <v>1.0</v>
      </c>
      <c r="Q146" s="4">
        <v>280.0</v>
      </c>
      <c r="R146" s="6">
        <v>35.0</v>
      </c>
      <c r="S146" s="4">
        <v>24.0</v>
      </c>
      <c r="T146" s="6">
        <v>0.77</v>
      </c>
      <c r="U146" s="3" t="s">
        <v>1541</v>
      </c>
      <c r="V146" s="3" t="s">
        <v>1542</v>
      </c>
      <c r="W146" s="2" t="s">
        <v>1543</v>
      </c>
    </row>
    <row r="147" spans="8:8" ht="18.75" customHeight="1">
      <c r="A147" s="7" t="s">
        <v>1783</v>
      </c>
      <c r="B147" s="8" t="s">
        <v>1407</v>
      </c>
      <c r="C147" s="8" t="s">
        <v>594</v>
      </c>
      <c r="D147" s="8" t="s">
        <v>1782</v>
      </c>
      <c r="E147" s="8" t="s">
        <v>1409</v>
      </c>
      <c r="F147" s="9">
        <v>65.0</v>
      </c>
      <c r="G147" s="8" t="s">
        <v>1222</v>
      </c>
      <c r="H147" s="8" t="s">
        <v>1784</v>
      </c>
      <c r="I147" s="8" t="s">
        <v>1785</v>
      </c>
      <c r="J147" s="8" t="s">
        <v>1547</v>
      </c>
      <c r="K147" s="8" t="s">
        <v>1548</v>
      </c>
      <c r="L147" s="9">
        <v>105.0</v>
      </c>
      <c r="M147" s="10">
        <v>381.0</v>
      </c>
      <c r="N147" s="11">
        <v>3.8</v>
      </c>
      <c r="O147" s="8" t="s">
        <v>1549</v>
      </c>
      <c r="P147" s="9">
        <v>2.0</v>
      </c>
      <c r="Q147" s="9">
        <v>350.0</v>
      </c>
      <c r="R147" s="11">
        <v>28.0</v>
      </c>
      <c r="S147" s="9">
        <v>20.0</v>
      </c>
      <c r="T147" s="11">
        <v>0.59</v>
      </c>
      <c r="U147" s="8" t="s">
        <v>1550</v>
      </c>
      <c r="V147" s="8" t="s">
        <v>1551</v>
      </c>
      <c r="W147" s="7" t="s">
        <v>1543</v>
      </c>
    </row>
    <row r="148" spans="8:8" ht="18.75" customHeight="1">
      <c r="A148" s="2" t="s">
        <v>1786</v>
      </c>
      <c r="B148" s="3" t="s">
        <v>1407</v>
      </c>
      <c r="C148" s="3" t="s">
        <v>594</v>
      </c>
      <c r="D148" s="3" t="s">
        <v>1782</v>
      </c>
      <c r="E148" s="3" t="s">
        <v>1409</v>
      </c>
      <c r="F148" s="4">
        <v>65.0</v>
      </c>
      <c r="G148" s="3" t="s">
        <v>1222</v>
      </c>
      <c r="H148" s="3" t="s">
        <v>1553</v>
      </c>
      <c r="I148" s="3" t="s">
        <v>1554</v>
      </c>
      <c r="J148" s="3" t="s">
        <v>1538</v>
      </c>
      <c r="K148" s="3" t="s">
        <v>1539</v>
      </c>
      <c r="L148" s="4">
        <v>75.0</v>
      </c>
      <c r="M148" s="5">
        <v>308.0</v>
      </c>
      <c r="N148" s="6">
        <v>3.9</v>
      </c>
      <c r="O148" s="3" t="s">
        <v>1555</v>
      </c>
      <c r="P148" s="4">
        <v>1.0</v>
      </c>
      <c r="Q148" s="4">
        <v>250.0</v>
      </c>
      <c r="R148" s="6">
        <v>38.0</v>
      </c>
      <c r="S148" s="4">
        <v>18.0</v>
      </c>
      <c r="T148" s="6">
        <v>0.65</v>
      </c>
      <c r="U148" s="3" t="s">
        <v>1556</v>
      </c>
      <c r="V148" s="3" t="s">
        <v>1557</v>
      </c>
      <c r="W148" s="2" t="s">
        <v>1543</v>
      </c>
    </row>
    <row r="149" spans="8:8" ht="18.75" customHeight="1">
      <c r="A149" s="7" t="s">
        <v>1787</v>
      </c>
      <c r="B149" s="8" t="s">
        <v>1407</v>
      </c>
      <c r="C149" s="8" t="s">
        <v>594</v>
      </c>
      <c r="D149" s="8" t="s">
        <v>1782</v>
      </c>
      <c r="E149" s="8" t="s">
        <v>1409</v>
      </c>
      <c r="F149" s="9">
        <v>65.0</v>
      </c>
      <c r="G149" s="8" t="s">
        <v>1222</v>
      </c>
      <c r="H149" s="8" t="s">
        <v>1559</v>
      </c>
      <c r="I149" s="8" t="s">
        <v>1560</v>
      </c>
      <c r="J149" s="8" t="s">
        <v>1561</v>
      </c>
      <c r="K149" s="8" t="s">
        <v>1548</v>
      </c>
      <c r="L149" s="9">
        <v>110.0</v>
      </c>
      <c r="M149" s="10">
        <v>403.0</v>
      </c>
      <c r="N149" s="11">
        <v>4.0</v>
      </c>
      <c r="O149" s="8" t="s">
        <v>1562</v>
      </c>
      <c r="P149" s="9">
        <v>2.0</v>
      </c>
      <c r="Q149" s="9">
        <v>380.0</v>
      </c>
      <c r="R149" s="11">
        <v>30.0</v>
      </c>
      <c r="S149" s="9">
        <v>19.0</v>
      </c>
      <c r="T149" s="11">
        <v>0.53</v>
      </c>
      <c r="U149" s="8" t="s">
        <v>1563</v>
      </c>
      <c r="V149" s="8" t="s">
        <v>1564</v>
      </c>
      <c r="W149" s="7" t="s">
        <v>1543</v>
      </c>
    </row>
    <row r="150" spans="8:8" ht="18.75" customHeight="1">
      <c r="A150" s="2" t="s">
        <v>1788</v>
      </c>
      <c r="B150" s="3" t="s">
        <v>1407</v>
      </c>
      <c r="C150" s="3" t="s">
        <v>594</v>
      </c>
      <c r="D150" s="3" t="s">
        <v>1782</v>
      </c>
      <c r="E150" s="3" t="s">
        <v>1409</v>
      </c>
      <c r="F150" s="4">
        <v>65.0</v>
      </c>
      <c r="G150" s="3" t="s">
        <v>1235</v>
      </c>
      <c r="H150" s="3" t="s">
        <v>1566</v>
      </c>
      <c r="I150" s="3" t="s">
        <v>1567</v>
      </c>
      <c r="J150" s="3" t="s">
        <v>1568</v>
      </c>
      <c r="K150" s="3" t="s">
        <v>1569</v>
      </c>
      <c r="L150" s="4">
        <v>105.0</v>
      </c>
      <c r="M150" s="5">
        <v>605.0</v>
      </c>
      <c r="N150" s="6">
        <v>5.8</v>
      </c>
      <c r="O150" s="3" t="s">
        <v>1570</v>
      </c>
      <c r="P150" s="4">
        <v>4.0</v>
      </c>
      <c r="Q150" s="4">
        <v>580.0</v>
      </c>
      <c r="R150" s="6">
        <v>18.0</v>
      </c>
      <c r="S150" s="4">
        <v>62.0</v>
      </c>
      <c r="T150" s="6">
        <v>1.15</v>
      </c>
      <c r="U150" s="3" t="s">
        <v>1571</v>
      </c>
      <c r="V150" s="3" t="s">
        <v>1572</v>
      </c>
      <c r="W150" s="2" t="s">
        <v>1543</v>
      </c>
    </row>
    <row r="151" spans="8:8" ht="18.75" customHeight="1">
      <c r="A151" s="7" t="s">
        <v>1789</v>
      </c>
      <c r="B151" s="8" t="s">
        <v>1407</v>
      </c>
      <c r="C151" s="8" t="s">
        <v>594</v>
      </c>
      <c r="D151" s="8" t="s">
        <v>1782</v>
      </c>
      <c r="E151" s="8" t="s">
        <v>1409</v>
      </c>
      <c r="F151" s="9">
        <v>65.0</v>
      </c>
      <c r="G151" s="8" t="s">
        <v>1235</v>
      </c>
      <c r="H151" s="8" t="s">
        <v>1574</v>
      </c>
      <c r="I151" s="8" t="s">
        <v>1575</v>
      </c>
      <c r="J151" s="8" t="s">
        <v>1561</v>
      </c>
      <c r="K151" s="8" t="s">
        <v>1569</v>
      </c>
      <c r="L151" s="9">
        <v>110.0</v>
      </c>
      <c r="M151" s="10">
        <v>571.0</v>
      </c>
      <c r="N151" s="11">
        <v>5.2</v>
      </c>
      <c r="O151" s="8" t="s">
        <v>1576</v>
      </c>
      <c r="P151" s="9">
        <v>4.0</v>
      </c>
      <c r="Q151" s="9">
        <v>550.0</v>
      </c>
      <c r="R151" s="11">
        <v>16.0</v>
      </c>
      <c r="S151" s="9">
        <v>26.0</v>
      </c>
      <c r="T151" s="11">
        <v>0.51</v>
      </c>
      <c r="U151" s="8" t="s">
        <v>1577</v>
      </c>
      <c r="V151" s="8" t="s">
        <v>1578</v>
      </c>
      <c r="W151" s="7" t="s">
        <v>1543</v>
      </c>
    </row>
    <row r="152" spans="8:8" ht="18.75" customHeight="1">
      <c r="A152" s="2" t="s">
        <v>1790</v>
      </c>
      <c r="B152" s="3" t="s">
        <v>1407</v>
      </c>
      <c r="C152" s="3" t="s">
        <v>594</v>
      </c>
      <c r="D152" s="3" t="s">
        <v>1782</v>
      </c>
      <c r="E152" s="3" t="s">
        <v>1409</v>
      </c>
      <c r="F152" s="4">
        <v>65.0</v>
      </c>
      <c r="G152" s="3" t="s">
        <v>1235</v>
      </c>
      <c r="H152" s="3" t="s">
        <v>1580</v>
      </c>
      <c r="I152" s="3" t="s">
        <v>1581</v>
      </c>
      <c r="J152" s="3" t="s">
        <v>1547</v>
      </c>
      <c r="K152" s="3" t="s">
        <v>1539</v>
      </c>
      <c r="L152" s="4">
        <v>160.0</v>
      </c>
      <c r="M152" s="5">
        <v>627.0</v>
      </c>
      <c r="N152" s="6">
        <v>4.8</v>
      </c>
      <c r="O152" s="3" t="s">
        <v>1582</v>
      </c>
      <c r="P152" s="4">
        <v>3.0</v>
      </c>
      <c r="Q152" s="4">
        <v>600.0</v>
      </c>
      <c r="R152" s="6">
        <v>20.0</v>
      </c>
      <c r="S152" s="4">
        <v>18.0</v>
      </c>
      <c r="T152" s="6">
        <v>0.32</v>
      </c>
      <c r="U152" s="3" t="s">
        <v>1583</v>
      </c>
      <c r="V152" s="3" t="s">
        <v>1584</v>
      </c>
      <c r="W152" s="2" t="s">
        <v>1543</v>
      </c>
    </row>
    <row r="153" spans="8:8" ht="18.75" customHeight="1">
      <c r="A153" s="7" t="s">
        <v>1791</v>
      </c>
      <c r="B153" s="8" t="s">
        <v>1407</v>
      </c>
      <c r="C153" s="8" t="s">
        <v>594</v>
      </c>
      <c r="D153" s="8" t="s">
        <v>1782</v>
      </c>
      <c r="E153" s="8" t="s">
        <v>1409</v>
      </c>
      <c r="F153" s="9">
        <v>65.0</v>
      </c>
      <c r="G153" s="8" t="s">
        <v>1235</v>
      </c>
      <c r="H153" s="8" t="s">
        <v>1586</v>
      </c>
      <c r="I153" s="8" t="s">
        <v>1587</v>
      </c>
      <c r="J153" s="8" t="s">
        <v>1568</v>
      </c>
      <c r="K153" s="8" t="s">
        <v>1548</v>
      </c>
      <c r="L153" s="9">
        <v>120.0</v>
      </c>
      <c r="M153" s="10">
        <v>538.0</v>
      </c>
      <c r="N153" s="11">
        <v>4.6</v>
      </c>
      <c r="O153" s="8" t="s">
        <v>1588</v>
      </c>
      <c r="P153" s="9">
        <v>6.0</v>
      </c>
      <c r="Q153" s="9">
        <v>500.0</v>
      </c>
      <c r="R153" s="11">
        <v>18.0</v>
      </c>
      <c r="S153" s="9">
        <v>48.0</v>
      </c>
      <c r="T153" s="11">
        <v>1.0</v>
      </c>
      <c r="U153" s="8" t="s">
        <v>1589</v>
      </c>
      <c r="V153" s="8" t="s">
        <v>1590</v>
      </c>
      <c r="W153" s="7" t="s">
        <v>1543</v>
      </c>
    </row>
    <row r="154" spans="8:8" ht="18.75" customHeight="1">
      <c r="A154" s="2" t="s">
        <v>1792</v>
      </c>
      <c r="B154" s="3" t="s">
        <v>1407</v>
      </c>
      <c r="C154" s="3" t="s">
        <v>594</v>
      </c>
      <c r="D154" s="3" t="s">
        <v>1782</v>
      </c>
      <c r="E154" s="3" t="s">
        <v>1409</v>
      </c>
      <c r="F154" s="4">
        <v>65.0</v>
      </c>
      <c r="G154" s="3" t="s">
        <v>1246</v>
      </c>
      <c r="H154" s="3" t="s">
        <v>1592</v>
      </c>
      <c r="I154" s="3" t="s">
        <v>1593</v>
      </c>
      <c r="J154" s="3" t="s">
        <v>1568</v>
      </c>
      <c r="K154" s="3" t="s">
        <v>1569</v>
      </c>
      <c r="L154" s="4">
        <v>125.0</v>
      </c>
      <c r="M154" s="5">
        <v>1030.0</v>
      </c>
      <c r="N154" s="6">
        <v>7.8</v>
      </c>
      <c r="O154" s="3" t="s">
        <v>1594</v>
      </c>
      <c r="P154" s="4">
        <v>13.0</v>
      </c>
      <c r="Q154" s="4">
        <v>950.0</v>
      </c>
      <c r="R154" s="6">
        <v>10.0</v>
      </c>
      <c r="S154" s="4">
        <v>64.0</v>
      </c>
      <c r="T154" s="6">
        <v>0.7</v>
      </c>
      <c r="U154" s="3" t="s">
        <v>1595</v>
      </c>
      <c r="V154" s="3" t="s">
        <v>1590</v>
      </c>
      <c r="W154" s="2" t="s">
        <v>1543</v>
      </c>
    </row>
    <row r="155" spans="8:8" ht="18.75" customHeight="1">
      <c r="A155" s="7" t="s">
        <v>1793</v>
      </c>
      <c r="B155" s="8" t="s">
        <v>1407</v>
      </c>
      <c r="C155" s="8" t="s">
        <v>594</v>
      </c>
      <c r="D155" s="8" t="s">
        <v>1782</v>
      </c>
      <c r="E155" s="8" t="s">
        <v>1409</v>
      </c>
      <c r="F155" s="9">
        <v>65.0</v>
      </c>
      <c r="G155" s="8" t="s">
        <v>1246</v>
      </c>
      <c r="H155" s="8" t="s">
        <v>1597</v>
      </c>
      <c r="I155" s="8" t="s">
        <v>1598</v>
      </c>
      <c r="J155" s="8" t="s">
        <v>1599</v>
      </c>
      <c r="K155" s="8" t="s">
        <v>1539</v>
      </c>
      <c r="L155" s="9">
        <v>165.0</v>
      </c>
      <c r="M155" s="10">
        <v>874.0</v>
      </c>
      <c r="N155" s="11">
        <v>6.4</v>
      </c>
      <c r="O155" s="8" t="s">
        <v>1600</v>
      </c>
      <c r="P155" s="9">
        <v>7.0</v>
      </c>
      <c r="Q155" s="9">
        <v>750.0</v>
      </c>
      <c r="R155" s="11">
        <v>14.0</v>
      </c>
      <c r="S155" s="9">
        <v>28.0</v>
      </c>
      <c r="T155" s="11">
        <v>0.36</v>
      </c>
      <c r="U155" s="8" t="s">
        <v>1601</v>
      </c>
      <c r="V155" s="8" t="s">
        <v>1602</v>
      </c>
      <c r="W155" s="7" t="s">
        <v>1543</v>
      </c>
    </row>
    <row r="156" spans="8:8" ht="18.75" customHeight="1">
      <c r="A156" s="2" t="s">
        <v>1794</v>
      </c>
      <c r="B156" s="3" t="s">
        <v>1407</v>
      </c>
      <c r="C156" s="3" t="s">
        <v>594</v>
      </c>
      <c r="D156" s="3" t="s">
        <v>1782</v>
      </c>
      <c r="E156" s="3" t="s">
        <v>1409</v>
      </c>
      <c r="F156" s="4">
        <v>65.0</v>
      </c>
      <c r="G156" s="3" t="s">
        <v>1246</v>
      </c>
      <c r="H156" s="3" t="s">
        <v>1604</v>
      </c>
      <c r="I156" s="3" t="s">
        <v>1605</v>
      </c>
      <c r="J156" s="3" t="s">
        <v>1606</v>
      </c>
      <c r="K156" s="3" t="s">
        <v>1569</v>
      </c>
      <c r="L156" s="4">
        <v>160.0</v>
      </c>
      <c r="M156" s="5">
        <v>918.0</v>
      </c>
      <c r="N156" s="6">
        <v>6.2</v>
      </c>
      <c r="O156" s="3" t="s">
        <v>1607</v>
      </c>
      <c r="P156" s="4">
        <v>9.0</v>
      </c>
      <c r="Q156" s="4">
        <v>800.0</v>
      </c>
      <c r="R156" s="6">
        <v>12.0</v>
      </c>
      <c r="S156" s="4">
        <v>35.0</v>
      </c>
      <c r="T156" s="6">
        <v>0.43</v>
      </c>
      <c r="U156" s="3" t="s">
        <v>1608</v>
      </c>
      <c r="V156" s="3" t="s">
        <v>1609</v>
      </c>
      <c r="W156" s="2" t="s">
        <v>1543</v>
      </c>
    </row>
    <row r="157" spans="8:8" ht="18.75" customHeight="1">
      <c r="A157" s="7" t="s">
        <v>1795</v>
      </c>
      <c r="B157" s="8" t="s">
        <v>1407</v>
      </c>
      <c r="C157" s="8" t="s">
        <v>594</v>
      </c>
      <c r="D157" s="8" t="s">
        <v>1782</v>
      </c>
      <c r="E157" s="8" t="s">
        <v>1409</v>
      </c>
      <c r="F157" s="9">
        <v>65.0</v>
      </c>
      <c r="G157" s="8" t="s">
        <v>1246</v>
      </c>
      <c r="H157" s="8" t="s">
        <v>1611</v>
      </c>
      <c r="I157" s="8" t="s">
        <v>1612</v>
      </c>
      <c r="J157" s="8" t="s">
        <v>1606</v>
      </c>
      <c r="K157" s="8" t="s">
        <v>1613</v>
      </c>
      <c r="L157" s="9">
        <v>250.0</v>
      </c>
      <c r="M157" s="10">
        <v>1176.0</v>
      </c>
      <c r="N157" s="11">
        <v>5.9</v>
      </c>
      <c r="O157" s="8" t="s">
        <v>1614</v>
      </c>
      <c r="P157" s="9">
        <v>16.0</v>
      </c>
      <c r="Q157" s="9">
        <v>1000.0</v>
      </c>
      <c r="R157" s="11">
        <v>10.0</v>
      </c>
      <c r="S157" s="9">
        <v>55.0</v>
      </c>
      <c r="T157" s="11">
        <v>0.52</v>
      </c>
      <c r="U157" s="8" t="s">
        <v>1615</v>
      </c>
      <c r="V157" s="8" t="s">
        <v>1616</v>
      </c>
      <c r="W157" s="7" t="s">
        <v>1543</v>
      </c>
    </row>
    <row r="158" spans="8:8" ht="18.75" customHeight="1">
      <c r="A158" s="2" t="s">
        <v>1796</v>
      </c>
      <c r="B158" s="3" t="s">
        <v>1407</v>
      </c>
      <c r="C158" s="3" t="s">
        <v>594</v>
      </c>
      <c r="D158" s="3" t="s">
        <v>1782</v>
      </c>
      <c r="E158" s="3" t="s">
        <v>1409</v>
      </c>
      <c r="F158" s="4">
        <v>65.0</v>
      </c>
      <c r="G158" s="3" t="s">
        <v>1257</v>
      </c>
      <c r="H158" s="3" t="s">
        <v>1618</v>
      </c>
      <c r="I158" s="3" t="s">
        <v>1619</v>
      </c>
      <c r="J158" s="3" t="s">
        <v>1599</v>
      </c>
      <c r="K158" s="3" t="s">
        <v>1620</v>
      </c>
      <c r="L158" s="4">
        <v>360.0</v>
      </c>
      <c r="M158" s="5">
        <v>1848.0</v>
      </c>
      <c r="N158" s="6">
        <v>8.5</v>
      </c>
      <c r="O158" s="3" t="s">
        <v>1621</v>
      </c>
      <c r="P158" s="4">
        <v>27.0</v>
      </c>
      <c r="Q158" s="4">
        <v>1350.0</v>
      </c>
      <c r="R158" s="6">
        <v>6.0</v>
      </c>
      <c r="S158" s="4">
        <v>1050.0</v>
      </c>
      <c r="T158" s="6">
        <v>6.36</v>
      </c>
      <c r="U158" s="3" t="s">
        <v>1622</v>
      </c>
      <c r="V158" s="3" t="s">
        <v>1623</v>
      </c>
      <c r="W158" s="2" t="s">
        <v>1543</v>
      </c>
    </row>
    <row r="159" spans="8:8" ht="18.75" customHeight="1">
      <c r="A159" s="7" t="s">
        <v>1797</v>
      </c>
      <c r="B159" s="8" t="s">
        <v>1407</v>
      </c>
      <c r="C159" s="8" t="s">
        <v>594</v>
      </c>
      <c r="D159" s="8" t="s">
        <v>1782</v>
      </c>
      <c r="E159" s="8" t="s">
        <v>1409</v>
      </c>
      <c r="F159" s="9">
        <v>65.0</v>
      </c>
      <c r="G159" s="8" t="s">
        <v>1257</v>
      </c>
      <c r="H159" s="8" t="s">
        <v>1625</v>
      </c>
      <c r="I159" s="8" t="s">
        <v>1626</v>
      </c>
      <c r="J159" s="8" t="s">
        <v>1627</v>
      </c>
      <c r="K159" s="8" t="s">
        <v>1628</v>
      </c>
      <c r="L159" s="9">
        <v>340.0</v>
      </c>
      <c r="M159" s="10">
        <v>1702.0</v>
      </c>
      <c r="N159" s="11">
        <v>8.2</v>
      </c>
      <c r="O159" s="8" t="s">
        <v>1629</v>
      </c>
      <c r="P159" s="9">
        <v>34.0</v>
      </c>
      <c r="Q159" s="9">
        <v>1300.0</v>
      </c>
      <c r="R159" s="11">
        <v>6.5</v>
      </c>
      <c r="S159" s="9">
        <v>650.0</v>
      </c>
      <c r="T159" s="11">
        <v>4.28</v>
      </c>
      <c r="U159" s="8" t="s">
        <v>1630</v>
      </c>
      <c r="V159" s="8" t="s">
        <v>1631</v>
      </c>
      <c r="W159" s="7" t="s">
        <v>1543</v>
      </c>
    </row>
    <row r="160" spans="8:8" ht="18.75" customHeight="1">
      <c r="A160" s="2" t="s">
        <v>1798</v>
      </c>
      <c r="B160" s="3" t="s">
        <v>1407</v>
      </c>
      <c r="C160" s="3" t="s">
        <v>594</v>
      </c>
      <c r="D160" s="3" t="s">
        <v>1782</v>
      </c>
      <c r="E160" s="3" t="s">
        <v>1409</v>
      </c>
      <c r="F160" s="4">
        <v>65.0</v>
      </c>
      <c r="G160" s="3" t="s">
        <v>1257</v>
      </c>
      <c r="H160" s="3" t="s">
        <v>1633</v>
      </c>
      <c r="I160" s="3" t="s">
        <v>1593</v>
      </c>
      <c r="J160" s="3" t="s">
        <v>1568</v>
      </c>
      <c r="K160" s="3" t="s">
        <v>1634</v>
      </c>
      <c r="L160" s="4">
        <v>240.0</v>
      </c>
      <c r="M160" s="5">
        <v>2072.0</v>
      </c>
      <c r="N160" s="6">
        <v>9.0</v>
      </c>
      <c r="O160" s="3" t="s">
        <v>1635</v>
      </c>
      <c r="P160" s="4">
        <v>31.0</v>
      </c>
      <c r="Q160" s="4">
        <v>1500.0</v>
      </c>
      <c r="R160" s="6">
        <v>4.5</v>
      </c>
      <c r="S160" s="4">
        <v>120.0</v>
      </c>
      <c r="T160" s="6">
        <v>0.65</v>
      </c>
      <c r="U160" s="3" t="s">
        <v>1636</v>
      </c>
      <c r="V160" s="3" t="s">
        <v>1637</v>
      </c>
      <c r="W160" s="2" t="s">
        <v>1543</v>
      </c>
    </row>
    <row r="161" spans="8:8" ht="18.75" customHeight="1">
      <c r="A161" s="7" t="s">
        <v>1799</v>
      </c>
      <c r="B161" s="8" t="s">
        <v>1407</v>
      </c>
      <c r="C161" s="8" t="s">
        <v>594</v>
      </c>
      <c r="D161" s="8" t="s">
        <v>1782</v>
      </c>
      <c r="E161" s="8" t="s">
        <v>1409</v>
      </c>
      <c r="F161" s="9">
        <v>65.0</v>
      </c>
      <c r="G161" s="8" t="s">
        <v>1257</v>
      </c>
      <c r="H161" s="8" t="s">
        <v>1639</v>
      </c>
      <c r="I161" s="8" t="s">
        <v>1640</v>
      </c>
      <c r="J161" s="8" t="s">
        <v>1641</v>
      </c>
      <c r="K161" s="8" t="s">
        <v>1642</v>
      </c>
      <c r="L161" s="9">
        <v>365.0</v>
      </c>
      <c r="M161" s="10">
        <v>1658.0</v>
      </c>
      <c r="N161" s="11">
        <v>7.2</v>
      </c>
      <c r="O161" s="8" t="s">
        <v>1643</v>
      </c>
      <c r="P161" s="9">
        <v>25.0</v>
      </c>
      <c r="Q161" s="9">
        <v>1400.0</v>
      </c>
      <c r="R161" s="11">
        <v>6.0</v>
      </c>
      <c r="S161" s="9">
        <v>140.0</v>
      </c>
      <c r="T161" s="11">
        <v>0.95</v>
      </c>
      <c r="U161" s="8" t="s">
        <v>1644</v>
      </c>
      <c r="V161" s="8" t="s">
        <v>1645</v>
      </c>
      <c r="W161" s="7" t="s">
        <v>1543</v>
      </c>
    </row>
    <row r="162" spans="8:8" ht="18.75" customHeight="1">
      <c r="A162" s="2" t="s">
        <v>1800</v>
      </c>
      <c r="B162" s="3" t="s">
        <v>1432</v>
      </c>
      <c r="C162" s="3" t="s">
        <v>805</v>
      </c>
      <c r="D162" s="3" t="s">
        <v>1801</v>
      </c>
      <c r="E162" s="3" t="s">
        <v>1331</v>
      </c>
      <c r="F162" s="4">
        <v>105.0</v>
      </c>
      <c r="G162" s="3" t="s">
        <v>1222</v>
      </c>
      <c r="H162" s="3" t="s">
        <v>1536</v>
      </c>
      <c r="I162" s="3" t="s">
        <v>1537</v>
      </c>
      <c r="J162" s="3" t="s">
        <v>1538</v>
      </c>
      <c r="K162" s="3" t="s">
        <v>1539</v>
      </c>
      <c r="L162" s="4">
        <v>80.0</v>
      </c>
      <c r="M162" s="5">
        <v>332.0</v>
      </c>
      <c r="N162" s="6">
        <v>4.2</v>
      </c>
      <c r="O162" s="3" t="s">
        <v>1540</v>
      </c>
      <c r="P162" s="4">
        <v>1.0</v>
      </c>
      <c r="Q162" s="4">
        <v>280.0</v>
      </c>
      <c r="R162" s="6">
        <v>35.0</v>
      </c>
      <c r="S162" s="4">
        <v>24.0</v>
      </c>
      <c r="T162" s="6">
        <v>0.77</v>
      </c>
      <c r="U162" s="3" t="s">
        <v>1541</v>
      </c>
      <c r="V162" s="3" t="s">
        <v>1542</v>
      </c>
      <c r="W162" s="2" t="s">
        <v>1543</v>
      </c>
    </row>
    <row r="163" spans="8:8" ht="18.75" customHeight="1">
      <c r="A163" s="7" t="s">
        <v>1802</v>
      </c>
      <c r="B163" s="8" t="s">
        <v>1432</v>
      </c>
      <c r="C163" s="8" t="s">
        <v>805</v>
      </c>
      <c r="D163" s="8" t="s">
        <v>1801</v>
      </c>
      <c r="E163" s="8" t="s">
        <v>1331</v>
      </c>
      <c r="F163" s="9">
        <v>105.0</v>
      </c>
      <c r="G163" s="8" t="s">
        <v>1222</v>
      </c>
      <c r="H163" s="8" t="s">
        <v>1545</v>
      </c>
      <c r="I163" s="8" t="s">
        <v>1546</v>
      </c>
      <c r="J163" s="8" t="s">
        <v>1547</v>
      </c>
      <c r="K163" s="8" t="s">
        <v>1548</v>
      </c>
      <c r="L163" s="9">
        <v>105.0</v>
      </c>
      <c r="M163" s="10">
        <v>364.0</v>
      </c>
      <c r="N163" s="11">
        <v>3.8</v>
      </c>
      <c r="O163" s="8" t="s">
        <v>1549</v>
      </c>
      <c r="P163" s="9">
        <v>2.0</v>
      </c>
      <c r="Q163" s="9">
        <v>350.0</v>
      </c>
      <c r="R163" s="11">
        <v>28.0</v>
      </c>
      <c r="S163" s="9">
        <v>20.0</v>
      </c>
      <c r="T163" s="11">
        <v>0.59</v>
      </c>
      <c r="U163" s="8" t="s">
        <v>1550</v>
      </c>
      <c r="V163" s="8" t="s">
        <v>1551</v>
      </c>
      <c r="W163" s="7" t="s">
        <v>1543</v>
      </c>
    </row>
    <row r="164" spans="8:8" ht="18.75" customHeight="1">
      <c r="A164" s="2" t="s">
        <v>1803</v>
      </c>
      <c r="B164" s="3" t="s">
        <v>1432</v>
      </c>
      <c r="C164" s="3" t="s">
        <v>805</v>
      </c>
      <c r="D164" s="3" t="s">
        <v>1801</v>
      </c>
      <c r="E164" s="3" t="s">
        <v>1331</v>
      </c>
      <c r="F164" s="4">
        <v>105.0</v>
      </c>
      <c r="G164" s="3" t="s">
        <v>1222</v>
      </c>
      <c r="H164" s="3" t="s">
        <v>1553</v>
      </c>
      <c r="I164" s="3" t="s">
        <v>1554</v>
      </c>
      <c r="J164" s="3" t="s">
        <v>1538</v>
      </c>
      <c r="K164" s="3" t="s">
        <v>1539</v>
      </c>
      <c r="L164" s="4">
        <v>75.0</v>
      </c>
      <c r="M164" s="5">
        <v>294.0</v>
      </c>
      <c r="N164" s="6">
        <v>3.9</v>
      </c>
      <c r="O164" s="3" t="s">
        <v>1555</v>
      </c>
      <c r="P164" s="4">
        <v>1.0</v>
      </c>
      <c r="Q164" s="4">
        <v>250.0</v>
      </c>
      <c r="R164" s="6">
        <v>38.0</v>
      </c>
      <c r="S164" s="4">
        <v>18.0</v>
      </c>
      <c r="T164" s="6">
        <v>0.65</v>
      </c>
      <c r="U164" s="3" t="s">
        <v>1556</v>
      </c>
      <c r="V164" s="3" t="s">
        <v>1557</v>
      </c>
      <c r="W164" s="2" t="s">
        <v>1543</v>
      </c>
    </row>
    <row r="165" spans="8:8" ht="18.75" customHeight="1">
      <c r="A165" s="7" t="s">
        <v>1804</v>
      </c>
      <c r="B165" s="8" t="s">
        <v>1432</v>
      </c>
      <c r="C165" s="8" t="s">
        <v>805</v>
      </c>
      <c r="D165" s="8" t="s">
        <v>1801</v>
      </c>
      <c r="E165" s="8" t="s">
        <v>1331</v>
      </c>
      <c r="F165" s="9">
        <v>105.0</v>
      </c>
      <c r="G165" s="8" t="s">
        <v>1222</v>
      </c>
      <c r="H165" s="8" t="s">
        <v>1559</v>
      </c>
      <c r="I165" s="8" t="s">
        <v>1560</v>
      </c>
      <c r="J165" s="8" t="s">
        <v>1561</v>
      </c>
      <c r="K165" s="8" t="s">
        <v>1548</v>
      </c>
      <c r="L165" s="9">
        <v>110.0</v>
      </c>
      <c r="M165" s="10">
        <v>385.0</v>
      </c>
      <c r="N165" s="11">
        <v>4.0</v>
      </c>
      <c r="O165" s="8" t="s">
        <v>1562</v>
      </c>
      <c r="P165" s="9">
        <v>2.0</v>
      </c>
      <c r="Q165" s="9">
        <v>380.0</v>
      </c>
      <c r="R165" s="11">
        <v>30.0</v>
      </c>
      <c r="S165" s="9">
        <v>19.0</v>
      </c>
      <c r="T165" s="11">
        <v>0.53</v>
      </c>
      <c r="U165" s="8" t="s">
        <v>1563</v>
      </c>
      <c r="V165" s="8" t="s">
        <v>1564</v>
      </c>
      <c r="W165" s="7" t="s">
        <v>1543</v>
      </c>
    </row>
    <row r="166" spans="8:8" ht="18.75" customHeight="1">
      <c r="A166" s="2" t="s">
        <v>1805</v>
      </c>
      <c r="B166" s="3" t="s">
        <v>1432</v>
      </c>
      <c r="C166" s="3" t="s">
        <v>805</v>
      </c>
      <c r="D166" s="3" t="s">
        <v>1801</v>
      </c>
      <c r="E166" s="3" t="s">
        <v>1331</v>
      </c>
      <c r="F166" s="4">
        <v>105.0</v>
      </c>
      <c r="G166" s="3" t="s">
        <v>1235</v>
      </c>
      <c r="H166" s="3" t="s">
        <v>1566</v>
      </c>
      <c r="I166" s="3" t="s">
        <v>1567</v>
      </c>
      <c r="J166" s="3" t="s">
        <v>1568</v>
      </c>
      <c r="K166" s="3" t="s">
        <v>1569</v>
      </c>
      <c r="L166" s="4">
        <v>105.0</v>
      </c>
      <c r="M166" s="5">
        <v>578.0</v>
      </c>
      <c r="N166" s="6">
        <v>5.8</v>
      </c>
      <c r="O166" s="3" t="s">
        <v>1570</v>
      </c>
      <c r="P166" s="4">
        <v>4.0</v>
      </c>
      <c r="Q166" s="4">
        <v>580.0</v>
      </c>
      <c r="R166" s="6">
        <v>18.0</v>
      </c>
      <c r="S166" s="4">
        <v>62.0</v>
      </c>
      <c r="T166" s="6">
        <v>1.15</v>
      </c>
      <c r="U166" s="3" t="s">
        <v>1571</v>
      </c>
      <c r="V166" s="3" t="s">
        <v>1572</v>
      </c>
      <c r="W166" s="2" t="s">
        <v>1543</v>
      </c>
    </row>
    <row r="167" spans="8:8" ht="18.75" customHeight="1">
      <c r="A167" s="7" t="s">
        <v>1806</v>
      </c>
      <c r="B167" s="8" t="s">
        <v>1432</v>
      </c>
      <c r="C167" s="8" t="s">
        <v>805</v>
      </c>
      <c r="D167" s="8" t="s">
        <v>1801</v>
      </c>
      <c r="E167" s="8" t="s">
        <v>1331</v>
      </c>
      <c r="F167" s="9">
        <v>105.0</v>
      </c>
      <c r="G167" s="8" t="s">
        <v>1235</v>
      </c>
      <c r="H167" s="8" t="s">
        <v>1574</v>
      </c>
      <c r="I167" s="8" t="s">
        <v>1575</v>
      </c>
      <c r="J167" s="8" t="s">
        <v>1561</v>
      </c>
      <c r="K167" s="8" t="s">
        <v>1569</v>
      </c>
      <c r="L167" s="9">
        <v>110.0</v>
      </c>
      <c r="M167" s="10">
        <v>546.0</v>
      </c>
      <c r="N167" s="11">
        <v>5.2</v>
      </c>
      <c r="O167" s="8" t="s">
        <v>1576</v>
      </c>
      <c r="P167" s="9">
        <v>4.0</v>
      </c>
      <c r="Q167" s="9">
        <v>550.0</v>
      </c>
      <c r="R167" s="11">
        <v>16.0</v>
      </c>
      <c r="S167" s="9">
        <v>26.0</v>
      </c>
      <c r="T167" s="11">
        <v>0.51</v>
      </c>
      <c r="U167" s="8" t="s">
        <v>1577</v>
      </c>
      <c r="V167" s="8" t="s">
        <v>1578</v>
      </c>
      <c r="W167" s="7" t="s">
        <v>1543</v>
      </c>
    </row>
    <row r="168" spans="8:8" ht="18.75" customHeight="1">
      <c r="A168" s="2" t="s">
        <v>1807</v>
      </c>
      <c r="B168" s="3" t="s">
        <v>1432</v>
      </c>
      <c r="C168" s="3" t="s">
        <v>805</v>
      </c>
      <c r="D168" s="3" t="s">
        <v>1801</v>
      </c>
      <c r="E168" s="3" t="s">
        <v>1331</v>
      </c>
      <c r="F168" s="4">
        <v>105.0</v>
      </c>
      <c r="G168" s="3" t="s">
        <v>1235</v>
      </c>
      <c r="H168" s="3" t="s">
        <v>1580</v>
      </c>
      <c r="I168" s="3" t="s">
        <v>1581</v>
      </c>
      <c r="J168" s="3" t="s">
        <v>1547</v>
      </c>
      <c r="K168" s="3" t="s">
        <v>1539</v>
      </c>
      <c r="L168" s="4">
        <v>160.0</v>
      </c>
      <c r="M168" s="5">
        <v>599.0</v>
      </c>
      <c r="N168" s="6">
        <v>4.8</v>
      </c>
      <c r="O168" s="3" t="s">
        <v>1582</v>
      </c>
      <c r="P168" s="4">
        <v>3.0</v>
      </c>
      <c r="Q168" s="4">
        <v>600.0</v>
      </c>
      <c r="R168" s="6">
        <v>20.0</v>
      </c>
      <c r="S168" s="4">
        <v>18.0</v>
      </c>
      <c r="T168" s="6">
        <v>0.32</v>
      </c>
      <c r="U168" s="3" t="s">
        <v>1583</v>
      </c>
      <c r="V168" s="3" t="s">
        <v>1584</v>
      </c>
      <c r="W168" s="2" t="s">
        <v>1543</v>
      </c>
    </row>
    <row r="169" spans="8:8" ht="18.75" customHeight="1">
      <c r="A169" s="7" t="s">
        <v>1808</v>
      </c>
      <c r="B169" s="8" t="s">
        <v>1432</v>
      </c>
      <c r="C169" s="8" t="s">
        <v>805</v>
      </c>
      <c r="D169" s="8" t="s">
        <v>1801</v>
      </c>
      <c r="E169" s="8" t="s">
        <v>1331</v>
      </c>
      <c r="F169" s="9">
        <v>105.0</v>
      </c>
      <c r="G169" s="8" t="s">
        <v>1235</v>
      </c>
      <c r="H169" s="8" t="s">
        <v>1586</v>
      </c>
      <c r="I169" s="8" t="s">
        <v>1587</v>
      </c>
      <c r="J169" s="8" t="s">
        <v>1568</v>
      </c>
      <c r="K169" s="8" t="s">
        <v>1548</v>
      </c>
      <c r="L169" s="9">
        <v>120.0</v>
      </c>
      <c r="M169" s="10">
        <v>514.0</v>
      </c>
      <c r="N169" s="11">
        <v>4.6</v>
      </c>
      <c r="O169" s="8" t="s">
        <v>1588</v>
      </c>
      <c r="P169" s="9">
        <v>5.0</v>
      </c>
      <c r="Q169" s="9">
        <v>500.0</v>
      </c>
      <c r="R169" s="11">
        <v>18.0</v>
      </c>
      <c r="S169" s="9">
        <v>48.0</v>
      </c>
      <c r="T169" s="11">
        <v>1.0</v>
      </c>
      <c r="U169" s="8" t="s">
        <v>1589</v>
      </c>
      <c r="V169" s="8" t="s">
        <v>1590</v>
      </c>
      <c r="W169" s="7" t="s">
        <v>1543</v>
      </c>
    </row>
    <row r="170" spans="8:8" ht="18.75" customHeight="1">
      <c r="A170" s="2" t="s">
        <v>1809</v>
      </c>
      <c r="B170" s="3" t="s">
        <v>1432</v>
      </c>
      <c r="C170" s="3" t="s">
        <v>805</v>
      </c>
      <c r="D170" s="3" t="s">
        <v>1801</v>
      </c>
      <c r="E170" s="3" t="s">
        <v>1331</v>
      </c>
      <c r="F170" s="4">
        <v>105.0</v>
      </c>
      <c r="G170" s="3" t="s">
        <v>1246</v>
      </c>
      <c r="H170" s="3" t="s">
        <v>1592</v>
      </c>
      <c r="I170" s="3" t="s">
        <v>1593</v>
      </c>
      <c r="J170" s="3" t="s">
        <v>1568</v>
      </c>
      <c r="K170" s="3" t="s">
        <v>1569</v>
      </c>
      <c r="L170" s="4">
        <v>125.0</v>
      </c>
      <c r="M170" s="5">
        <v>984.0</v>
      </c>
      <c r="N170" s="6">
        <v>7.8</v>
      </c>
      <c r="O170" s="3" t="s">
        <v>1594</v>
      </c>
      <c r="P170" s="4">
        <v>13.0</v>
      </c>
      <c r="Q170" s="4">
        <v>950.0</v>
      </c>
      <c r="R170" s="6">
        <v>10.0</v>
      </c>
      <c r="S170" s="4">
        <v>64.0</v>
      </c>
      <c r="T170" s="6">
        <v>0.7</v>
      </c>
      <c r="U170" s="3" t="s">
        <v>1595</v>
      </c>
      <c r="V170" s="3" t="s">
        <v>1590</v>
      </c>
      <c r="W170" s="2" t="s">
        <v>1543</v>
      </c>
    </row>
    <row r="171" spans="8:8" ht="18.75" customHeight="1">
      <c r="A171" s="7" t="s">
        <v>1810</v>
      </c>
      <c r="B171" s="8" t="s">
        <v>1432</v>
      </c>
      <c r="C171" s="8" t="s">
        <v>805</v>
      </c>
      <c r="D171" s="8" t="s">
        <v>1801</v>
      </c>
      <c r="E171" s="8" t="s">
        <v>1331</v>
      </c>
      <c r="F171" s="9">
        <v>105.0</v>
      </c>
      <c r="G171" s="8" t="s">
        <v>1246</v>
      </c>
      <c r="H171" s="8" t="s">
        <v>1597</v>
      </c>
      <c r="I171" s="8" t="s">
        <v>1598</v>
      </c>
      <c r="J171" s="8" t="s">
        <v>1599</v>
      </c>
      <c r="K171" s="8" t="s">
        <v>1539</v>
      </c>
      <c r="L171" s="9">
        <v>165.0</v>
      </c>
      <c r="M171" s="10">
        <v>835.0</v>
      </c>
      <c r="N171" s="11">
        <v>6.4</v>
      </c>
      <c r="O171" s="8" t="s">
        <v>1600</v>
      </c>
      <c r="P171" s="9">
        <v>6.0</v>
      </c>
      <c r="Q171" s="9">
        <v>750.0</v>
      </c>
      <c r="R171" s="11">
        <v>14.0</v>
      </c>
      <c r="S171" s="9">
        <v>28.0</v>
      </c>
      <c r="T171" s="11">
        <v>0.36</v>
      </c>
      <c r="U171" s="8" t="s">
        <v>1601</v>
      </c>
      <c r="V171" s="8" t="s">
        <v>1602</v>
      </c>
      <c r="W171" s="7" t="s">
        <v>1543</v>
      </c>
    </row>
    <row r="172" spans="8:8" ht="18.75" customHeight="1">
      <c r="A172" s="2" t="s">
        <v>1811</v>
      </c>
      <c r="B172" s="3" t="s">
        <v>1432</v>
      </c>
      <c r="C172" s="3" t="s">
        <v>805</v>
      </c>
      <c r="D172" s="3" t="s">
        <v>1801</v>
      </c>
      <c r="E172" s="3" t="s">
        <v>1331</v>
      </c>
      <c r="F172" s="4">
        <v>105.0</v>
      </c>
      <c r="G172" s="3" t="s">
        <v>1246</v>
      </c>
      <c r="H172" s="3" t="s">
        <v>1604</v>
      </c>
      <c r="I172" s="3" t="s">
        <v>1605</v>
      </c>
      <c r="J172" s="3" t="s">
        <v>1606</v>
      </c>
      <c r="K172" s="3" t="s">
        <v>1569</v>
      </c>
      <c r="L172" s="4">
        <v>160.0</v>
      </c>
      <c r="M172" s="5">
        <v>877.0</v>
      </c>
      <c r="N172" s="6">
        <v>6.2</v>
      </c>
      <c r="O172" s="3" t="s">
        <v>1607</v>
      </c>
      <c r="P172" s="4">
        <v>9.0</v>
      </c>
      <c r="Q172" s="4">
        <v>800.0</v>
      </c>
      <c r="R172" s="6">
        <v>12.0</v>
      </c>
      <c r="S172" s="4">
        <v>35.0</v>
      </c>
      <c r="T172" s="6">
        <v>0.43</v>
      </c>
      <c r="U172" s="3" t="s">
        <v>1608</v>
      </c>
      <c r="V172" s="3" t="s">
        <v>1609</v>
      </c>
      <c r="W172" s="2" t="s">
        <v>1543</v>
      </c>
    </row>
    <row r="173" spans="8:8" ht="18.75" customHeight="1">
      <c r="A173" s="7" t="s">
        <v>1812</v>
      </c>
      <c r="B173" s="8" t="s">
        <v>1432</v>
      </c>
      <c r="C173" s="8" t="s">
        <v>805</v>
      </c>
      <c r="D173" s="8" t="s">
        <v>1801</v>
      </c>
      <c r="E173" s="8" t="s">
        <v>1331</v>
      </c>
      <c r="F173" s="9">
        <v>105.0</v>
      </c>
      <c r="G173" s="8" t="s">
        <v>1246</v>
      </c>
      <c r="H173" s="8" t="s">
        <v>1611</v>
      </c>
      <c r="I173" s="8" t="s">
        <v>1612</v>
      </c>
      <c r="J173" s="8" t="s">
        <v>1606</v>
      </c>
      <c r="K173" s="8" t="s">
        <v>1613</v>
      </c>
      <c r="L173" s="9">
        <v>250.0</v>
      </c>
      <c r="M173" s="10">
        <v>1124.0</v>
      </c>
      <c r="N173" s="11">
        <v>5.9</v>
      </c>
      <c r="O173" s="8" t="s">
        <v>1614</v>
      </c>
      <c r="P173" s="9">
        <v>15.0</v>
      </c>
      <c r="Q173" s="9">
        <v>1000.0</v>
      </c>
      <c r="R173" s="11">
        <v>10.0</v>
      </c>
      <c r="S173" s="9">
        <v>55.0</v>
      </c>
      <c r="T173" s="11">
        <v>0.52</v>
      </c>
      <c r="U173" s="8" t="s">
        <v>1615</v>
      </c>
      <c r="V173" s="8" t="s">
        <v>1616</v>
      </c>
      <c r="W173" s="7" t="s">
        <v>1543</v>
      </c>
    </row>
    <row r="174" spans="8:8" ht="18.75" customHeight="1">
      <c r="A174" s="2" t="s">
        <v>1813</v>
      </c>
      <c r="B174" s="3" t="s">
        <v>1432</v>
      </c>
      <c r="C174" s="3" t="s">
        <v>805</v>
      </c>
      <c r="D174" s="3" t="s">
        <v>1801</v>
      </c>
      <c r="E174" s="3" t="s">
        <v>1331</v>
      </c>
      <c r="F174" s="4">
        <v>105.0</v>
      </c>
      <c r="G174" s="3" t="s">
        <v>1257</v>
      </c>
      <c r="H174" s="3" t="s">
        <v>1618</v>
      </c>
      <c r="I174" s="3" t="s">
        <v>1619</v>
      </c>
      <c r="J174" s="3" t="s">
        <v>1599</v>
      </c>
      <c r="K174" s="3" t="s">
        <v>1620</v>
      </c>
      <c r="L174" s="4">
        <v>360.0</v>
      </c>
      <c r="M174" s="5">
        <v>1766.0</v>
      </c>
      <c r="N174" s="6">
        <v>8.5</v>
      </c>
      <c r="O174" s="3" t="s">
        <v>1621</v>
      </c>
      <c r="P174" s="4">
        <v>26.0</v>
      </c>
      <c r="Q174" s="4">
        <v>1350.0</v>
      </c>
      <c r="R174" s="6">
        <v>6.0</v>
      </c>
      <c r="S174" s="4">
        <v>1050.0</v>
      </c>
      <c r="T174" s="6">
        <v>6.36</v>
      </c>
      <c r="U174" s="3" t="s">
        <v>1622</v>
      </c>
      <c r="V174" s="3" t="s">
        <v>1623</v>
      </c>
      <c r="W174" s="2" t="s">
        <v>1543</v>
      </c>
    </row>
    <row r="175" spans="8:8" ht="18.75" customHeight="1">
      <c r="A175" s="7" t="s">
        <v>1814</v>
      </c>
      <c r="B175" s="8" t="s">
        <v>1432</v>
      </c>
      <c r="C175" s="8" t="s">
        <v>805</v>
      </c>
      <c r="D175" s="8" t="s">
        <v>1801</v>
      </c>
      <c r="E175" s="8" t="s">
        <v>1331</v>
      </c>
      <c r="F175" s="9">
        <v>105.0</v>
      </c>
      <c r="G175" s="8" t="s">
        <v>1257</v>
      </c>
      <c r="H175" s="8" t="s">
        <v>1625</v>
      </c>
      <c r="I175" s="8" t="s">
        <v>1626</v>
      </c>
      <c r="J175" s="8" t="s">
        <v>1627</v>
      </c>
      <c r="K175" s="8" t="s">
        <v>1628</v>
      </c>
      <c r="L175" s="9">
        <v>340.0</v>
      </c>
      <c r="M175" s="10">
        <v>1626.0</v>
      </c>
      <c r="N175" s="11">
        <v>8.2</v>
      </c>
      <c r="O175" s="8" t="s">
        <v>1629</v>
      </c>
      <c r="P175" s="9">
        <v>32.0</v>
      </c>
      <c r="Q175" s="9">
        <v>1300.0</v>
      </c>
      <c r="R175" s="11">
        <v>6.5</v>
      </c>
      <c r="S175" s="9">
        <v>650.0</v>
      </c>
      <c r="T175" s="11">
        <v>4.28</v>
      </c>
      <c r="U175" s="8" t="s">
        <v>1630</v>
      </c>
      <c r="V175" s="8" t="s">
        <v>1631</v>
      </c>
      <c r="W175" s="7" t="s">
        <v>1543</v>
      </c>
    </row>
    <row r="176" spans="8:8" ht="18.75" customHeight="1">
      <c r="A176" s="2" t="s">
        <v>1815</v>
      </c>
      <c r="B176" s="3" t="s">
        <v>1432</v>
      </c>
      <c r="C176" s="3" t="s">
        <v>805</v>
      </c>
      <c r="D176" s="3" t="s">
        <v>1801</v>
      </c>
      <c r="E176" s="3" t="s">
        <v>1331</v>
      </c>
      <c r="F176" s="4">
        <v>105.0</v>
      </c>
      <c r="G176" s="3" t="s">
        <v>1257</v>
      </c>
      <c r="H176" s="3" t="s">
        <v>1633</v>
      </c>
      <c r="I176" s="3" t="s">
        <v>1593</v>
      </c>
      <c r="J176" s="3" t="s">
        <v>1568</v>
      </c>
      <c r="K176" s="3" t="s">
        <v>1634</v>
      </c>
      <c r="L176" s="4">
        <v>240.0</v>
      </c>
      <c r="M176" s="5">
        <v>1980.0</v>
      </c>
      <c r="N176" s="6">
        <v>9.0</v>
      </c>
      <c r="O176" s="3" t="s">
        <v>1635</v>
      </c>
      <c r="P176" s="4">
        <v>30.0</v>
      </c>
      <c r="Q176" s="4">
        <v>1500.0</v>
      </c>
      <c r="R176" s="6">
        <v>4.5</v>
      </c>
      <c r="S176" s="4">
        <v>120.0</v>
      </c>
      <c r="T176" s="6">
        <v>0.65</v>
      </c>
      <c r="U176" s="3" t="s">
        <v>1636</v>
      </c>
      <c r="V176" s="3" t="s">
        <v>1637</v>
      </c>
      <c r="W176" s="2" t="s">
        <v>1543</v>
      </c>
    </row>
    <row r="177" spans="8:8" ht="18.75" customHeight="1">
      <c r="A177" s="7" t="s">
        <v>1816</v>
      </c>
      <c r="B177" s="8" t="s">
        <v>1432</v>
      </c>
      <c r="C177" s="8" t="s">
        <v>805</v>
      </c>
      <c r="D177" s="8" t="s">
        <v>1801</v>
      </c>
      <c r="E177" s="8" t="s">
        <v>1331</v>
      </c>
      <c r="F177" s="9">
        <v>105.0</v>
      </c>
      <c r="G177" s="8" t="s">
        <v>1257</v>
      </c>
      <c r="H177" s="8" t="s">
        <v>1639</v>
      </c>
      <c r="I177" s="8" t="s">
        <v>1640</v>
      </c>
      <c r="J177" s="8" t="s">
        <v>1641</v>
      </c>
      <c r="K177" s="8" t="s">
        <v>1642</v>
      </c>
      <c r="L177" s="9">
        <v>365.0</v>
      </c>
      <c r="M177" s="10">
        <v>1584.0</v>
      </c>
      <c r="N177" s="11">
        <v>7.2</v>
      </c>
      <c r="O177" s="8" t="s">
        <v>1643</v>
      </c>
      <c r="P177" s="9">
        <v>24.0</v>
      </c>
      <c r="Q177" s="9">
        <v>1400.0</v>
      </c>
      <c r="R177" s="11">
        <v>6.0</v>
      </c>
      <c r="S177" s="9">
        <v>140.0</v>
      </c>
      <c r="T177" s="11">
        <v>0.95</v>
      </c>
      <c r="U177" s="8" t="s">
        <v>1644</v>
      </c>
      <c r="V177" s="8" t="s">
        <v>1645</v>
      </c>
      <c r="W177" s="7" t="s">
        <v>1543</v>
      </c>
    </row>
    <row r="178" spans="8:8" ht="18.75" customHeight="1">
      <c r="A178" s="2" t="s">
        <v>1817</v>
      </c>
      <c r="B178" s="3" t="s">
        <v>1455</v>
      </c>
      <c r="C178" s="3" t="s">
        <v>636</v>
      </c>
      <c r="D178" s="3" t="s">
        <v>1818</v>
      </c>
      <c r="E178" s="3" t="s">
        <v>1457</v>
      </c>
      <c r="F178" s="4">
        <v>130.0</v>
      </c>
      <c r="G178" s="3" t="s">
        <v>1222</v>
      </c>
      <c r="H178" s="3" t="s">
        <v>1536</v>
      </c>
      <c r="I178" s="3" t="s">
        <v>1537</v>
      </c>
      <c r="J178" s="3" t="s">
        <v>1538</v>
      </c>
      <c r="K178" s="3" t="s">
        <v>1539</v>
      </c>
      <c r="L178" s="4">
        <v>80.0</v>
      </c>
      <c r="M178" s="5">
        <v>322.0</v>
      </c>
      <c r="N178" s="6">
        <v>4.2</v>
      </c>
      <c r="O178" s="3" t="s">
        <v>1540</v>
      </c>
      <c r="P178" s="4">
        <v>1.0</v>
      </c>
      <c r="Q178" s="4">
        <v>280.0</v>
      </c>
      <c r="R178" s="6">
        <v>35.0</v>
      </c>
      <c r="S178" s="4">
        <v>24.0</v>
      </c>
      <c r="T178" s="6">
        <v>0.77</v>
      </c>
      <c r="U178" s="3" t="s">
        <v>1541</v>
      </c>
      <c r="V178" s="3" t="s">
        <v>1542</v>
      </c>
      <c r="W178" s="2" t="s">
        <v>1543</v>
      </c>
    </row>
    <row r="179" spans="8:8" ht="18.75" customHeight="1">
      <c r="A179" s="7" t="s">
        <v>1819</v>
      </c>
      <c r="B179" s="8" t="s">
        <v>1455</v>
      </c>
      <c r="C179" s="8" t="s">
        <v>636</v>
      </c>
      <c r="D179" s="8" t="s">
        <v>1818</v>
      </c>
      <c r="E179" s="8" t="s">
        <v>1457</v>
      </c>
      <c r="F179" s="9">
        <v>130.0</v>
      </c>
      <c r="G179" s="8" t="s">
        <v>1222</v>
      </c>
      <c r="H179" s="8" t="s">
        <v>1545</v>
      </c>
      <c r="I179" s="8" t="s">
        <v>1546</v>
      </c>
      <c r="J179" s="8" t="s">
        <v>1547</v>
      </c>
      <c r="K179" s="8" t="s">
        <v>1548</v>
      </c>
      <c r="L179" s="9">
        <v>105.0</v>
      </c>
      <c r="M179" s="10">
        <v>354.0</v>
      </c>
      <c r="N179" s="11">
        <v>3.8</v>
      </c>
      <c r="O179" s="8" t="s">
        <v>1549</v>
      </c>
      <c r="P179" s="9">
        <v>2.0</v>
      </c>
      <c r="Q179" s="9">
        <v>350.0</v>
      </c>
      <c r="R179" s="11">
        <v>28.0</v>
      </c>
      <c r="S179" s="9">
        <v>20.0</v>
      </c>
      <c r="T179" s="11">
        <v>0.59</v>
      </c>
      <c r="U179" s="8" t="s">
        <v>1550</v>
      </c>
      <c r="V179" s="8" t="s">
        <v>1551</v>
      </c>
      <c r="W179" s="7" t="s">
        <v>1543</v>
      </c>
    </row>
    <row r="180" spans="8:8" ht="18.75" customHeight="1">
      <c r="A180" s="2" t="s">
        <v>1820</v>
      </c>
      <c r="B180" s="3" t="s">
        <v>1455</v>
      </c>
      <c r="C180" s="3" t="s">
        <v>636</v>
      </c>
      <c r="D180" s="3" t="s">
        <v>1818</v>
      </c>
      <c r="E180" s="3" t="s">
        <v>1457</v>
      </c>
      <c r="F180" s="4">
        <v>130.0</v>
      </c>
      <c r="G180" s="3" t="s">
        <v>1222</v>
      </c>
      <c r="H180" s="3" t="s">
        <v>1553</v>
      </c>
      <c r="I180" s="3" t="s">
        <v>1554</v>
      </c>
      <c r="J180" s="3" t="s">
        <v>1538</v>
      </c>
      <c r="K180" s="3" t="s">
        <v>1539</v>
      </c>
      <c r="L180" s="4">
        <v>75.0</v>
      </c>
      <c r="M180" s="5">
        <v>286.0</v>
      </c>
      <c r="N180" s="6">
        <v>3.9</v>
      </c>
      <c r="O180" s="3" t="s">
        <v>1555</v>
      </c>
      <c r="P180" s="4">
        <v>1.0</v>
      </c>
      <c r="Q180" s="4">
        <v>250.0</v>
      </c>
      <c r="R180" s="6">
        <v>38.0</v>
      </c>
      <c r="S180" s="4">
        <v>18.0</v>
      </c>
      <c r="T180" s="6">
        <v>0.65</v>
      </c>
      <c r="U180" s="3" t="s">
        <v>1556</v>
      </c>
      <c r="V180" s="3" t="s">
        <v>1557</v>
      </c>
      <c r="W180" s="2" t="s">
        <v>1543</v>
      </c>
    </row>
    <row r="181" spans="8:8" ht="18.75" customHeight="1">
      <c r="A181" s="7" t="s">
        <v>1821</v>
      </c>
      <c r="B181" s="8" t="s">
        <v>1455</v>
      </c>
      <c r="C181" s="8" t="s">
        <v>636</v>
      </c>
      <c r="D181" s="8" t="s">
        <v>1818</v>
      </c>
      <c r="E181" s="8" t="s">
        <v>1457</v>
      </c>
      <c r="F181" s="9">
        <v>130.0</v>
      </c>
      <c r="G181" s="8" t="s">
        <v>1222</v>
      </c>
      <c r="H181" s="8" t="s">
        <v>1822</v>
      </c>
      <c r="I181" s="8" t="s">
        <v>1560</v>
      </c>
      <c r="J181" s="8" t="s">
        <v>1561</v>
      </c>
      <c r="K181" s="8" t="s">
        <v>1548</v>
      </c>
      <c r="L181" s="9">
        <v>110.0</v>
      </c>
      <c r="M181" s="10">
        <v>374.0</v>
      </c>
      <c r="N181" s="11">
        <v>4.0</v>
      </c>
      <c r="O181" s="8" t="s">
        <v>1562</v>
      </c>
      <c r="P181" s="9">
        <v>2.0</v>
      </c>
      <c r="Q181" s="9">
        <v>380.0</v>
      </c>
      <c r="R181" s="11">
        <v>30.0</v>
      </c>
      <c r="S181" s="9">
        <v>19.0</v>
      </c>
      <c r="T181" s="11">
        <v>0.53</v>
      </c>
      <c r="U181" s="8" t="s">
        <v>1563</v>
      </c>
      <c r="V181" s="8" t="s">
        <v>1564</v>
      </c>
      <c r="W181" s="7" t="s">
        <v>1543</v>
      </c>
    </row>
    <row r="182" spans="8:8" ht="18.75" customHeight="1">
      <c r="A182" s="2" t="s">
        <v>1823</v>
      </c>
      <c r="B182" s="3" t="s">
        <v>1455</v>
      </c>
      <c r="C182" s="3" t="s">
        <v>636</v>
      </c>
      <c r="D182" s="3" t="s">
        <v>1818</v>
      </c>
      <c r="E182" s="3" t="s">
        <v>1457</v>
      </c>
      <c r="F182" s="4">
        <v>130.0</v>
      </c>
      <c r="G182" s="3" t="s">
        <v>1235</v>
      </c>
      <c r="H182" s="3" t="s">
        <v>1566</v>
      </c>
      <c r="I182" s="3" t="s">
        <v>1567</v>
      </c>
      <c r="J182" s="3" t="s">
        <v>1568</v>
      </c>
      <c r="K182" s="3" t="s">
        <v>1569</v>
      </c>
      <c r="L182" s="4">
        <v>105.0</v>
      </c>
      <c r="M182" s="5">
        <v>562.0</v>
      </c>
      <c r="N182" s="6">
        <v>5.8</v>
      </c>
      <c r="O182" s="3" t="s">
        <v>1570</v>
      </c>
      <c r="P182" s="4">
        <v>4.0</v>
      </c>
      <c r="Q182" s="4">
        <v>580.0</v>
      </c>
      <c r="R182" s="6">
        <v>18.0</v>
      </c>
      <c r="S182" s="4">
        <v>62.0</v>
      </c>
      <c r="T182" s="6">
        <v>1.15</v>
      </c>
      <c r="U182" s="3" t="s">
        <v>1571</v>
      </c>
      <c r="V182" s="3" t="s">
        <v>1572</v>
      </c>
      <c r="W182" s="2" t="s">
        <v>1543</v>
      </c>
    </row>
    <row r="183" spans="8:8" ht="18.75" customHeight="1">
      <c r="A183" s="7" t="s">
        <v>1824</v>
      </c>
      <c r="B183" s="8" t="s">
        <v>1455</v>
      </c>
      <c r="C183" s="8" t="s">
        <v>636</v>
      </c>
      <c r="D183" s="8" t="s">
        <v>1818</v>
      </c>
      <c r="E183" s="8" t="s">
        <v>1457</v>
      </c>
      <c r="F183" s="9">
        <v>130.0</v>
      </c>
      <c r="G183" s="8" t="s">
        <v>1235</v>
      </c>
      <c r="H183" s="8" t="s">
        <v>1574</v>
      </c>
      <c r="I183" s="8" t="s">
        <v>1575</v>
      </c>
      <c r="J183" s="8" t="s">
        <v>1561</v>
      </c>
      <c r="K183" s="8" t="s">
        <v>1569</v>
      </c>
      <c r="L183" s="9">
        <v>110.0</v>
      </c>
      <c r="M183" s="10">
        <v>530.0</v>
      </c>
      <c r="N183" s="11">
        <v>5.2</v>
      </c>
      <c r="O183" s="8" t="s">
        <v>1576</v>
      </c>
      <c r="P183" s="9">
        <v>4.0</v>
      </c>
      <c r="Q183" s="9">
        <v>550.0</v>
      </c>
      <c r="R183" s="11">
        <v>16.0</v>
      </c>
      <c r="S183" s="9">
        <v>26.0</v>
      </c>
      <c r="T183" s="11">
        <v>0.51</v>
      </c>
      <c r="U183" s="8" t="s">
        <v>1577</v>
      </c>
      <c r="V183" s="8" t="s">
        <v>1578</v>
      </c>
      <c r="W183" s="7" t="s">
        <v>1543</v>
      </c>
    </row>
    <row r="184" spans="8:8" ht="18.75" customHeight="1">
      <c r="A184" s="2" t="s">
        <v>1825</v>
      </c>
      <c r="B184" s="3" t="s">
        <v>1455</v>
      </c>
      <c r="C184" s="3" t="s">
        <v>636</v>
      </c>
      <c r="D184" s="3" t="s">
        <v>1818</v>
      </c>
      <c r="E184" s="3" t="s">
        <v>1457</v>
      </c>
      <c r="F184" s="4">
        <v>130.0</v>
      </c>
      <c r="G184" s="3" t="s">
        <v>1235</v>
      </c>
      <c r="H184" s="3" t="s">
        <v>1580</v>
      </c>
      <c r="I184" s="3" t="s">
        <v>1581</v>
      </c>
      <c r="J184" s="3" t="s">
        <v>1547</v>
      </c>
      <c r="K184" s="3" t="s">
        <v>1539</v>
      </c>
      <c r="L184" s="4">
        <v>160.0</v>
      </c>
      <c r="M184" s="5">
        <v>582.0</v>
      </c>
      <c r="N184" s="6">
        <v>4.8</v>
      </c>
      <c r="O184" s="3" t="s">
        <v>1582</v>
      </c>
      <c r="P184" s="4">
        <v>3.0</v>
      </c>
      <c r="Q184" s="4">
        <v>600.0</v>
      </c>
      <c r="R184" s="6">
        <v>20.0</v>
      </c>
      <c r="S184" s="4">
        <v>18.0</v>
      </c>
      <c r="T184" s="6">
        <v>0.32</v>
      </c>
      <c r="U184" s="3" t="s">
        <v>1583</v>
      </c>
      <c r="V184" s="3" t="s">
        <v>1584</v>
      </c>
      <c r="W184" s="2" t="s">
        <v>1543</v>
      </c>
    </row>
    <row r="185" spans="8:8" ht="18.75" customHeight="1">
      <c r="A185" s="7" t="s">
        <v>1826</v>
      </c>
      <c r="B185" s="8" t="s">
        <v>1455</v>
      </c>
      <c r="C185" s="8" t="s">
        <v>636</v>
      </c>
      <c r="D185" s="8" t="s">
        <v>1818</v>
      </c>
      <c r="E185" s="8" t="s">
        <v>1457</v>
      </c>
      <c r="F185" s="9">
        <v>130.0</v>
      </c>
      <c r="G185" s="8" t="s">
        <v>1235</v>
      </c>
      <c r="H185" s="8" t="s">
        <v>1827</v>
      </c>
      <c r="I185" s="8" t="s">
        <v>1587</v>
      </c>
      <c r="J185" s="8" t="s">
        <v>1568</v>
      </c>
      <c r="K185" s="8" t="s">
        <v>1548</v>
      </c>
      <c r="L185" s="9">
        <v>120.0</v>
      </c>
      <c r="M185" s="10">
        <v>499.0</v>
      </c>
      <c r="N185" s="11">
        <v>4.6</v>
      </c>
      <c r="O185" s="8" t="s">
        <v>1588</v>
      </c>
      <c r="P185" s="9">
        <v>5.0</v>
      </c>
      <c r="Q185" s="9">
        <v>500.0</v>
      </c>
      <c r="R185" s="11">
        <v>18.0</v>
      </c>
      <c r="S185" s="9">
        <v>48.0</v>
      </c>
      <c r="T185" s="11">
        <v>1.0</v>
      </c>
      <c r="U185" s="8" t="s">
        <v>1589</v>
      </c>
      <c r="V185" s="8" t="s">
        <v>1590</v>
      </c>
      <c r="W185" s="7" t="s">
        <v>1543</v>
      </c>
    </row>
    <row r="186" spans="8:8" ht="18.75" customHeight="1">
      <c r="A186" s="2" t="s">
        <v>1828</v>
      </c>
      <c r="B186" s="3" t="s">
        <v>1455</v>
      </c>
      <c r="C186" s="3" t="s">
        <v>636</v>
      </c>
      <c r="D186" s="3" t="s">
        <v>1818</v>
      </c>
      <c r="E186" s="3" t="s">
        <v>1457</v>
      </c>
      <c r="F186" s="4">
        <v>130.0</v>
      </c>
      <c r="G186" s="3" t="s">
        <v>1246</v>
      </c>
      <c r="H186" s="3" t="s">
        <v>1829</v>
      </c>
      <c r="I186" s="3" t="s">
        <v>1593</v>
      </c>
      <c r="J186" s="3" t="s">
        <v>1568</v>
      </c>
      <c r="K186" s="3" t="s">
        <v>1569</v>
      </c>
      <c r="L186" s="4">
        <v>125.0</v>
      </c>
      <c r="M186" s="5">
        <v>957.0</v>
      </c>
      <c r="N186" s="6">
        <v>7.8</v>
      </c>
      <c r="O186" s="3" t="s">
        <v>1594</v>
      </c>
      <c r="P186" s="4">
        <v>12.0</v>
      </c>
      <c r="Q186" s="4">
        <v>950.0</v>
      </c>
      <c r="R186" s="6">
        <v>10.0</v>
      </c>
      <c r="S186" s="4">
        <v>64.0</v>
      </c>
      <c r="T186" s="6">
        <v>0.7</v>
      </c>
      <c r="U186" s="3" t="s">
        <v>1595</v>
      </c>
      <c r="V186" s="3" t="s">
        <v>1590</v>
      </c>
      <c r="W186" s="2" t="s">
        <v>1543</v>
      </c>
    </row>
    <row r="187" spans="8:8" ht="18.75" customHeight="1">
      <c r="A187" s="7" t="s">
        <v>1830</v>
      </c>
      <c r="B187" s="8" t="s">
        <v>1455</v>
      </c>
      <c r="C187" s="8" t="s">
        <v>636</v>
      </c>
      <c r="D187" s="8" t="s">
        <v>1818</v>
      </c>
      <c r="E187" s="8" t="s">
        <v>1457</v>
      </c>
      <c r="F187" s="9">
        <v>130.0</v>
      </c>
      <c r="G187" s="8" t="s">
        <v>1246</v>
      </c>
      <c r="H187" s="8" t="s">
        <v>1597</v>
      </c>
      <c r="I187" s="8" t="s">
        <v>1598</v>
      </c>
      <c r="J187" s="8" t="s">
        <v>1599</v>
      </c>
      <c r="K187" s="8" t="s">
        <v>1539</v>
      </c>
      <c r="L187" s="9">
        <v>165.0</v>
      </c>
      <c r="M187" s="10">
        <v>811.0</v>
      </c>
      <c r="N187" s="11">
        <v>6.4</v>
      </c>
      <c r="O187" s="8" t="s">
        <v>1600</v>
      </c>
      <c r="P187" s="9">
        <v>6.0</v>
      </c>
      <c r="Q187" s="9">
        <v>750.0</v>
      </c>
      <c r="R187" s="11">
        <v>14.0</v>
      </c>
      <c r="S187" s="9">
        <v>28.0</v>
      </c>
      <c r="T187" s="11">
        <v>0.36</v>
      </c>
      <c r="U187" s="8" t="s">
        <v>1601</v>
      </c>
      <c r="V187" s="8" t="s">
        <v>1602</v>
      </c>
      <c r="W187" s="7" t="s">
        <v>1543</v>
      </c>
    </row>
    <row r="188" spans="8:8" ht="18.75" customHeight="1">
      <c r="A188" s="2" t="s">
        <v>1831</v>
      </c>
      <c r="B188" s="3" t="s">
        <v>1455</v>
      </c>
      <c r="C188" s="3" t="s">
        <v>636</v>
      </c>
      <c r="D188" s="3" t="s">
        <v>1818</v>
      </c>
      <c r="E188" s="3" t="s">
        <v>1457</v>
      </c>
      <c r="F188" s="4">
        <v>130.0</v>
      </c>
      <c r="G188" s="3" t="s">
        <v>1246</v>
      </c>
      <c r="H188" s="3" t="s">
        <v>1604</v>
      </c>
      <c r="I188" s="3" t="s">
        <v>1605</v>
      </c>
      <c r="J188" s="3" t="s">
        <v>1606</v>
      </c>
      <c r="K188" s="3" t="s">
        <v>1569</v>
      </c>
      <c r="L188" s="4">
        <v>160.0</v>
      </c>
      <c r="M188" s="5">
        <v>853.0</v>
      </c>
      <c r="N188" s="6">
        <v>6.2</v>
      </c>
      <c r="O188" s="3" t="s">
        <v>1607</v>
      </c>
      <c r="P188" s="4">
        <v>8.0</v>
      </c>
      <c r="Q188" s="4">
        <v>800.0</v>
      </c>
      <c r="R188" s="6">
        <v>12.0</v>
      </c>
      <c r="S188" s="4">
        <v>35.0</v>
      </c>
      <c r="T188" s="6">
        <v>0.43</v>
      </c>
      <c r="U188" s="3" t="s">
        <v>1608</v>
      </c>
      <c r="V188" s="3" t="s">
        <v>1609</v>
      </c>
      <c r="W188" s="2" t="s">
        <v>1543</v>
      </c>
    </row>
    <row r="189" spans="8:8" ht="18.75" customHeight="1">
      <c r="A189" s="7" t="s">
        <v>1832</v>
      </c>
      <c r="B189" s="8" t="s">
        <v>1455</v>
      </c>
      <c r="C189" s="8" t="s">
        <v>636</v>
      </c>
      <c r="D189" s="8" t="s">
        <v>1818</v>
      </c>
      <c r="E189" s="8" t="s">
        <v>1457</v>
      </c>
      <c r="F189" s="9">
        <v>130.0</v>
      </c>
      <c r="G189" s="8" t="s">
        <v>1246</v>
      </c>
      <c r="H189" s="8" t="s">
        <v>1611</v>
      </c>
      <c r="I189" s="8" t="s">
        <v>1612</v>
      </c>
      <c r="J189" s="8" t="s">
        <v>1606</v>
      </c>
      <c r="K189" s="8" t="s">
        <v>1613</v>
      </c>
      <c r="L189" s="9">
        <v>250.0</v>
      </c>
      <c r="M189" s="10">
        <v>1092.0</v>
      </c>
      <c r="N189" s="11">
        <v>5.9</v>
      </c>
      <c r="O189" s="8" t="s">
        <v>1614</v>
      </c>
      <c r="P189" s="9">
        <v>15.0</v>
      </c>
      <c r="Q189" s="9">
        <v>1000.0</v>
      </c>
      <c r="R189" s="11">
        <v>10.0</v>
      </c>
      <c r="S189" s="9">
        <v>55.0</v>
      </c>
      <c r="T189" s="11">
        <v>0.52</v>
      </c>
      <c r="U189" s="8" t="s">
        <v>1615</v>
      </c>
      <c r="V189" s="8" t="s">
        <v>1616</v>
      </c>
      <c r="W189" s="7" t="s">
        <v>1543</v>
      </c>
    </row>
    <row r="190" spans="8:8" ht="18.75" customHeight="1">
      <c r="A190" s="2" t="s">
        <v>1833</v>
      </c>
      <c r="B190" s="3" t="s">
        <v>1455</v>
      </c>
      <c r="C190" s="3" t="s">
        <v>636</v>
      </c>
      <c r="D190" s="3" t="s">
        <v>1818</v>
      </c>
      <c r="E190" s="3" t="s">
        <v>1457</v>
      </c>
      <c r="F190" s="4">
        <v>130.0</v>
      </c>
      <c r="G190" s="3" t="s">
        <v>1257</v>
      </c>
      <c r="H190" s="3" t="s">
        <v>1618</v>
      </c>
      <c r="I190" s="3" t="s">
        <v>1619</v>
      </c>
      <c r="J190" s="3" t="s">
        <v>1599</v>
      </c>
      <c r="K190" s="3" t="s">
        <v>1620</v>
      </c>
      <c r="L190" s="4">
        <v>360.0</v>
      </c>
      <c r="M190" s="5">
        <v>1716.0</v>
      </c>
      <c r="N190" s="6">
        <v>8.5</v>
      </c>
      <c r="O190" s="3" t="s">
        <v>1621</v>
      </c>
      <c r="P190" s="4">
        <v>25.0</v>
      </c>
      <c r="Q190" s="4">
        <v>1350.0</v>
      </c>
      <c r="R190" s="6">
        <v>6.0</v>
      </c>
      <c r="S190" s="4">
        <v>1050.0</v>
      </c>
      <c r="T190" s="6">
        <v>6.36</v>
      </c>
      <c r="U190" s="3" t="s">
        <v>1622</v>
      </c>
      <c r="V190" s="3" t="s">
        <v>1623</v>
      </c>
      <c r="W190" s="2" t="s">
        <v>1543</v>
      </c>
    </row>
    <row r="191" spans="8:8" ht="18.75" customHeight="1">
      <c r="A191" s="7" t="s">
        <v>1834</v>
      </c>
      <c r="B191" s="8" t="s">
        <v>1455</v>
      </c>
      <c r="C191" s="8" t="s">
        <v>636</v>
      </c>
      <c r="D191" s="8" t="s">
        <v>1818</v>
      </c>
      <c r="E191" s="8" t="s">
        <v>1457</v>
      </c>
      <c r="F191" s="9">
        <v>130.0</v>
      </c>
      <c r="G191" s="8" t="s">
        <v>1257</v>
      </c>
      <c r="H191" s="8" t="s">
        <v>1625</v>
      </c>
      <c r="I191" s="8" t="s">
        <v>1626</v>
      </c>
      <c r="J191" s="8" t="s">
        <v>1627</v>
      </c>
      <c r="K191" s="8" t="s">
        <v>1628</v>
      </c>
      <c r="L191" s="9">
        <v>340.0</v>
      </c>
      <c r="M191" s="10">
        <v>1581.0</v>
      </c>
      <c r="N191" s="11">
        <v>8.2</v>
      </c>
      <c r="O191" s="8" t="s">
        <v>1629</v>
      </c>
      <c r="P191" s="9">
        <v>31.0</v>
      </c>
      <c r="Q191" s="9">
        <v>1300.0</v>
      </c>
      <c r="R191" s="11">
        <v>6.5</v>
      </c>
      <c r="S191" s="9">
        <v>650.0</v>
      </c>
      <c r="T191" s="11">
        <v>4.28</v>
      </c>
      <c r="U191" s="8" t="s">
        <v>1630</v>
      </c>
      <c r="V191" s="8" t="s">
        <v>1631</v>
      </c>
      <c r="W191" s="7" t="s">
        <v>1543</v>
      </c>
    </row>
    <row r="192" spans="8:8" ht="18.75" customHeight="1">
      <c r="A192" s="2" t="s">
        <v>1835</v>
      </c>
      <c r="B192" s="3" t="s">
        <v>1455</v>
      </c>
      <c r="C192" s="3" t="s">
        <v>636</v>
      </c>
      <c r="D192" s="3" t="s">
        <v>1818</v>
      </c>
      <c r="E192" s="3" t="s">
        <v>1457</v>
      </c>
      <c r="F192" s="4">
        <v>130.0</v>
      </c>
      <c r="G192" s="3" t="s">
        <v>1257</v>
      </c>
      <c r="H192" s="3" t="s">
        <v>1633</v>
      </c>
      <c r="I192" s="3" t="s">
        <v>1593</v>
      </c>
      <c r="J192" s="3" t="s">
        <v>1568</v>
      </c>
      <c r="K192" s="3" t="s">
        <v>1634</v>
      </c>
      <c r="L192" s="4">
        <v>240.0</v>
      </c>
      <c r="M192" s="5">
        <v>1924.0</v>
      </c>
      <c r="N192" s="6">
        <v>9.0</v>
      </c>
      <c r="O192" s="3" t="s">
        <v>1635</v>
      </c>
      <c r="P192" s="4">
        <v>29.0</v>
      </c>
      <c r="Q192" s="4">
        <v>1500.0</v>
      </c>
      <c r="R192" s="6">
        <v>4.5</v>
      </c>
      <c r="S192" s="4">
        <v>120.0</v>
      </c>
      <c r="T192" s="6">
        <v>0.65</v>
      </c>
      <c r="U192" s="3" t="s">
        <v>1636</v>
      </c>
      <c r="V192" s="3" t="s">
        <v>1637</v>
      </c>
      <c r="W192" s="2" t="s">
        <v>1543</v>
      </c>
    </row>
    <row r="193" spans="8:8" ht="18.75" customHeight="1">
      <c r="A193" s="7" t="s">
        <v>1836</v>
      </c>
      <c r="B193" s="8" t="s">
        <v>1455</v>
      </c>
      <c r="C193" s="8" t="s">
        <v>636</v>
      </c>
      <c r="D193" s="8" t="s">
        <v>1818</v>
      </c>
      <c r="E193" s="8" t="s">
        <v>1457</v>
      </c>
      <c r="F193" s="9">
        <v>130.0</v>
      </c>
      <c r="G193" s="8" t="s">
        <v>1257</v>
      </c>
      <c r="H193" s="8" t="s">
        <v>1639</v>
      </c>
      <c r="I193" s="8" t="s">
        <v>1640</v>
      </c>
      <c r="J193" s="8" t="s">
        <v>1641</v>
      </c>
      <c r="K193" s="8" t="s">
        <v>1642</v>
      </c>
      <c r="L193" s="9">
        <v>365.0</v>
      </c>
      <c r="M193" s="10">
        <v>1539.0</v>
      </c>
      <c r="N193" s="11">
        <v>7.2</v>
      </c>
      <c r="O193" s="8" t="s">
        <v>1643</v>
      </c>
      <c r="P193" s="9">
        <v>23.0</v>
      </c>
      <c r="Q193" s="9">
        <v>1400.0</v>
      </c>
      <c r="R193" s="11">
        <v>6.0</v>
      </c>
      <c r="S193" s="9">
        <v>140.0</v>
      </c>
      <c r="T193" s="11">
        <v>0.95</v>
      </c>
      <c r="U193" s="8" t="s">
        <v>1644</v>
      </c>
      <c r="V193" s="8" t="s">
        <v>1645</v>
      </c>
      <c r="W193" s="7" t="s">
        <v>1543</v>
      </c>
    </row>
    <row r="194" spans="8:8" ht="18.75" customHeight="1">
      <c r="A194" s="2" t="s">
        <v>1837</v>
      </c>
      <c r="B194" s="3" t="s">
        <v>1478</v>
      </c>
      <c r="C194" s="3" t="s">
        <v>571</v>
      </c>
      <c r="D194" s="3" t="s">
        <v>1838</v>
      </c>
      <c r="E194" s="3" t="s">
        <v>1480</v>
      </c>
      <c r="F194" s="4">
        <v>155.0</v>
      </c>
      <c r="G194" s="3" t="s">
        <v>1222</v>
      </c>
      <c r="H194" s="3" t="s">
        <v>1536</v>
      </c>
      <c r="I194" s="3" t="s">
        <v>1537</v>
      </c>
      <c r="J194" s="3" t="s">
        <v>1538</v>
      </c>
      <c r="K194" s="3" t="s">
        <v>1539</v>
      </c>
      <c r="L194" s="4">
        <v>80.0</v>
      </c>
      <c r="M194" s="5">
        <v>313.0</v>
      </c>
      <c r="N194" s="6">
        <v>4.2</v>
      </c>
      <c r="O194" s="3" t="s">
        <v>1540</v>
      </c>
      <c r="P194" s="4">
        <v>1.0</v>
      </c>
      <c r="Q194" s="4">
        <v>280.0</v>
      </c>
      <c r="R194" s="6">
        <v>35.0</v>
      </c>
      <c r="S194" s="4">
        <v>24.0</v>
      </c>
      <c r="T194" s="6">
        <v>0.77</v>
      </c>
      <c r="U194" s="3" t="s">
        <v>1541</v>
      </c>
      <c r="V194" s="3" t="s">
        <v>1542</v>
      </c>
      <c r="W194" s="2" t="s">
        <v>1543</v>
      </c>
    </row>
    <row r="195" spans="8:8" ht="18.75" customHeight="1">
      <c r="A195" s="7" t="s">
        <v>1839</v>
      </c>
      <c r="B195" s="8" t="s">
        <v>1478</v>
      </c>
      <c r="C195" s="8" t="s">
        <v>571</v>
      </c>
      <c r="D195" s="8" t="s">
        <v>1838</v>
      </c>
      <c r="E195" s="8" t="s">
        <v>1480</v>
      </c>
      <c r="F195" s="9">
        <v>155.0</v>
      </c>
      <c r="G195" s="8" t="s">
        <v>1222</v>
      </c>
      <c r="H195" s="8" t="s">
        <v>1545</v>
      </c>
      <c r="I195" s="8" t="s">
        <v>1546</v>
      </c>
      <c r="J195" s="8" t="s">
        <v>1547</v>
      </c>
      <c r="K195" s="8" t="s">
        <v>1548</v>
      </c>
      <c r="L195" s="9">
        <v>105.0</v>
      </c>
      <c r="M195" s="10">
        <v>343.0</v>
      </c>
      <c r="N195" s="11">
        <v>3.8</v>
      </c>
      <c r="O195" s="8" t="s">
        <v>1549</v>
      </c>
      <c r="P195" s="9">
        <v>2.0</v>
      </c>
      <c r="Q195" s="9">
        <v>350.0</v>
      </c>
      <c r="R195" s="11">
        <v>28.0</v>
      </c>
      <c r="S195" s="9">
        <v>20.0</v>
      </c>
      <c r="T195" s="11">
        <v>0.59</v>
      </c>
      <c r="U195" s="8" t="s">
        <v>1550</v>
      </c>
      <c r="V195" s="8" t="s">
        <v>1551</v>
      </c>
      <c r="W195" s="7" t="s">
        <v>1543</v>
      </c>
    </row>
    <row r="196" spans="8:8" ht="18.75" customHeight="1">
      <c r="A196" s="2" t="s">
        <v>1840</v>
      </c>
      <c r="B196" s="3" t="s">
        <v>1478</v>
      </c>
      <c r="C196" s="3" t="s">
        <v>571</v>
      </c>
      <c r="D196" s="3" t="s">
        <v>1838</v>
      </c>
      <c r="E196" s="3" t="s">
        <v>1480</v>
      </c>
      <c r="F196" s="4">
        <v>155.0</v>
      </c>
      <c r="G196" s="3" t="s">
        <v>1222</v>
      </c>
      <c r="H196" s="3" t="s">
        <v>1553</v>
      </c>
      <c r="I196" s="3" t="s">
        <v>1554</v>
      </c>
      <c r="J196" s="3" t="s">
        <v>1538</v>
      </c>
      <c r="K196" s="3" t="s">
        <v>1539</v>
      </c>
      <c r="L196" s="4">
        <v>75.0</v>
      </c>
      <c r="M196" s="5">
        <v>278.0</v>
      </c>
      <c r="N196" s="6">
        <v>3.9</v>
      </c>
      <c r="O196" s="3" t="s">
        <v>1555</v>
      </c>
      <c r="P196" s="4">
        <v>1.0</v>
      </c>
      <c r="Q196" s="4">
        <v>250.0</v>
      </c>
      <c r="R196" s="6">
        <v>38.0</v>
      </c>
      <c r="S196" s="4">
        <v>18.0</v>
      </c>
      <c r="T196" s="6">
        <v>0.65</v>
      </c>
      <c r="U196" s="3" t="s">
        <v>1556</v>
      </c>
      <c r="V196" s="3" t="s">
        <v>1557</v>
      </c>
      <c r="W196" s="2" t="s">
        <v>1543</v>
      </c>
    </row>
    <row r="197" spans="8:8" ht="18.75" customHeight="1">
      <c r="A197" s="7" t="s">
        <v>1841</v>
      </c>
      <c r="B197" s="8" t="s">
        <v>1478</v>
      </c>
      <c r="C197" s="8" t="s">
        <v>571</v>
      </c>
      <c r="D197" s="8" t="s">
        <v>1838</v>
      </c>
      <c r="E197" s="8" t="s">
        <v>1480</v>
      </c>
      <c r="F197" s="9">
        <v>155.0</v>
      </c>
      <c r="G197" s="8" t="s">
        <v>1222</v>
      </c>
      <c r="H197" s="8" t="s">
        <v>1559</v>
      </c>
      <c r="I197" s="8" t="s">
        <v>1560</v>
      </c>
      <c r="J197" s="8" t="s">
        <v>1561</v>
      </c>
      <c r="K197" s="8" t="s">
        <v>1548</v>
      </c>
      <c r="L197" s="9">
        <v>110.0</v>
      </c>
      <c r="M197" s="10">
        <v>364.0</v>
      </c>
      <c r="N197" s="11">
        <v>4.0</v>
      </c>
      <c r="O197" s="8" t="s">
        <v>1562</v>
      </c>
      <c r="P197" s="9">
        <v>2.0</v>
      </c>
      <c r="Q197" s="9">
        <v>380.0</v>
      </c>
      <c r="R197" s="11">
        <v>30.0</v>
      </c>
      <c r="S197" s="9">
        <v>19.0</v>
      </c>
      <c r="T197" s="11">
        <v>0.53</v>
      </c>
      <c r="U197" s="8" t="s">
        <v>1563</v>
      </c>
      <c r="V197" s="8" t="s">
        <v>1564</v>
      </c>
      <c r="W197" s="7" t="s">
        <v>1543</v>
      </c>
    </row>
    <row r="198" spans="8:8" ht="18.75" customHeight="1">
      <c r="A198" s="2" t="s">
        <v>1842</v>
      </c>
      <c r="B198" s="3" t="s">
        <v>1478</v>
      </c>
      <c r="C198" s="3" t="s">
        <v>571</v>
      </c>
      <c r="D198" s="3" t="s">
        <v>1838</v>
      </c>
      <c r="E198" s="3" t="s">
        <v>1480</v>
      </c>
      <c r="F198" s="4">
        <v>155.0</v>
      </c>
      <c r="G198" s="3" t="s">
        <v>1235</v>
      </c>
      <c r="H198" s="3" t="s">
        <v>1566</v>
      </c>
      <c r="I198" s="3" t="s">
        <v>1567</v>
      </c>
      <c r="J198" s="3" t="s">
        <v>1568</v>
      </c>
      <c r="K198" s="3" t="s">
        <v>1569</v>
      </c>
      <c r="L198" s="4">
        <v>105.0</v>
      </c>
      <c r="M198" s="5">
        <v>545.0</v>
      </c>
      <c r="N198" s="6">
        <v>5.8</v>
      </c>
      <c r="O198" s="3" t="s">
        <v>1570</v>
      </c>
      <c r="P198" s="4">
        <v>4.0</v>
      </c>
      <c r="Q198" s="4">
        <v>580.0</v>
      </c>
      <c r="R198" s="6">
        <v>18.0</v>
      </c>
      <c r="S198" s="4">
        <v>62.0</v>
      </c>
      <c r="T198" s="6">
        <v>1.15</v>
      </c>
      <c r="U198" s="3" t="s">
        <v>1571</v>
      </c>
      <c r="V198" s="3" t="s">
        <v>1572</v>
      </c>
      <c r="W198" s="2" t="s">
        <v>1543</v>
      </c>
    </row>
    <row r="199" spans="8:8" ht="18.75" customHeight="1">
      <c r="A199" s="7" t="s">
        <v>1843</v>
      </c>
      <c r="B199" s="8" t="s">
        <v>1478</v>
      </c>
      <c r="C199" s="8" t="s">
        <v>571</v>
      </c>
      <c r="D199" s="8" t="s">
        <v>1838</v>
      </c>
      <c r="E199" s="8" t="s">
        <v>1480</v>
      </c>
      <c r="F199" s="9">
        <v>155.0</v>
      </c>
      <c r="G199" s="8" t="s">
        <v>1235</v>
      </c>
      <c r="H199" s="8" t="s">
        <v>1574</v>
      </c>
      <c r="I199" s="8" t="s">
        <v>1575</v>
      </c>
      <c r="J199" s="8" t="s">
        <v>1561</v>
      </c>
      <c r="K199" s="8" t="s">
        <v>1569</v>
      </c>
      <c r="L199" s="9">
        <v>110.0</v>
      </c>
      <c r="M199" s="10">
        <v>515.0</v>
      </c>
      <c r="N199" s="11">
        <v>5.2</v>
      </c>
      <c r="O199" s="8" t="s">
        <v>1576</v>
      </c>
      <c r="P199" s="9">
        <v>4.0</v>
      </c>
      <c r="Q199" s="9">
        <v>550.0</v>
      </c>
      <c r="R199" s="11">
        <v>16.0</v>
      </c>
      <c r="S199" s="9">
        <v>26.0</v>
      </c>
      <c r="T199" s="11">
        <v>0.51</v>
      </c>
      <c r="U199" s="8" t="s">
        <v>1577</v>
      </c>
      <c r="V199" s="8" t="s">
        <v>1578</v>
      </c>
      <c r="W199" s="7" t="s">
        <v>1543</v>
      </c>
    </row>
    <row r="200" spans="8:8" ht="18.75" customHeight="1">
      <c r="A200" s="2" t="s">
        <v>1844</v>
      </c>
      <c r="B200" s="3" t="s">
        <v>1478</v>
      </c>
      <c r="C200" s="3" t="s">
        <v>571</v>
      </c>
      <c r="D200" s="3" t="s">
        <v>1838</v>
      </c>
      <c r="E200" s="3" t="s">
        <v>1480</v>
      </c>
      <c r="F200" s="4">
        <v>155.0</v>
      </c>
      <c r="G200" s="3" t="s">
        <v>1235</v>
      </c>
      <c r="H200" s="3" t="s">
        <v>1580</v>
      </c>
      <c r="I200" s="3" t="s">
        <v>1581</v>
      </c>
      <c r="J200" s="3" t="s">
        <v>1547</v>
      </c>
      <c r="K200" s="3" t="s">
        <v>1539</v>
      </c>
      <c r="L200" s="4">
        <v>160.0</v>
      </c>
      <c r="M200" s="5">
        <v>566.0</v>
      </c>
      <c r="N200" s="6">
        <v>4.8</v>
      </c>
      <c r="O200" s="3" t="s">
        <v>1582</v>
      </c>
      <c r="P200" s="4">
        <v>3.0</v>
      </c>
      <c r="Q200" s="4">
        <v>600.0</v>
      </c>
      <c r="R200" s="6">
        <v>20.0</v>
      </c>
      <c r="S200" s="4">
        <v>18.0</v>
      </c>
      <c r="T200" s="6">
        <v>0.32</v>
      </c>
      <c r="U200" s="3" t="s">
        <v>1583</v>
      </c>
      <c r="V200" s="3" t="s">
        <v>1584</v>
      </c>
      <c r="W200" s="2" t="s">
        <v>1543</v>
      </c>
    </row>
    <row r="201" spans="8:8" ht="18.75" customHeight="1">
      <c r="A201" s="7" t="s">
        <v>1845</v>
      </c>
      <c r="B201" s="8" t="s">
        <v>1478</v>
      </c>
      <c r="C201" s="8" t="s">
        <v>571</v>
      </c>
      <c r="D201" s="8" t="s">
        <v>1838</v>
      </c>
      <c r="E201" s="8" t="s">
        <v>1480</v>
      </c>
      <c r="F201" s="9">
        <v>155.0</v>
      </c>
      <c r="G201" s="8" t="s">
        <v>1235</v>
      </c>
      <c r="H201" s="8" t="s">
        <v>1586</v>
      </c>
      <c r="I201" s="8" t="s">
        <v>1587</v>
      </c>
      <c r="J201" s="8" t="s">
        <v>1568</v>
      </c>
      <c r="K201" s="8" t="s">
        <v>1548</v>
      </c>
      <c r="L201" s="9">
        <v>120.0</v>
      </c>
      <c r="M201" s="10">
        <v>485.0</v>
      </c>
      <c r="N201" s="11">
        <v>4.6</v>
      </c>
      <c r="O201" s="8" t="s">
        <v>1588</v>
      </c>
      <c r="P201" s="9">
        <v>5.0</v>
      </c>
      <c r="Q201" s="9">
        <v>500.0</v>
      </c>
      <c r="R201" s="11">
        <v>18.0</v>
      </c>
      <c r="S201" s="9">
        <v>48.0</v>
      </c>
      <c r="T201" s="11">
        <v>1.0</v>
      </c>
      <c r="U201" s="8" t="s">
        <v>1589</v>
      </c>
      <c r="V201" s="8" t="s">
        <v>1590</v>
      </c>
      <c r="W201" s="7" t="s">
        <v>1543</v>
      </c>
    </row>
    <row r="202" spans="8:8" ht="18.75" customHeight="1">
      <c r="A202" s="2" t="s">
        <v>1846</v>
      </c>
      <c r="B202" s="3" t="s">
        <v>1478</v>
      </c>
      <c r="C202" s="3" t="s">
        <v>571</v>
      </c>
      <c r="D202" s="3" t="s">
        <v>1838</v>
      </c>
      <c r="E202" s="3" t="s">
        <v>1480</v>
      </c>
      <c r="F202" s="4">
        <v>155.0</v>
      </c>
      <c r="G202" s="3" t="s">
        <v>1246</v>
      </c>
      <c r="H202" s="3" t="s">
        <v>1592</v>
      </c>
      <c r="I202" s="3" t="s">
        <v>1593</v>
      </c>
      <c r="J202" s="3" t="s">
        <v>1568</v>
      </c>
      <c r="K202" s="3" t="s">
        <v>1569</v>
      </c>
      <c r="L202" s="4">
        <v>125.0</v>
      </c>
      <c r="M202" s="5">
        <v>929.0</v>
      </c>
      <c r="N202" s="6">
        <v>7.8</v>
      </c>
      <c r="O202" s="3" t="s">
        <v>1594</v>
      </c>
      <c r="P202" s="4">
        <v>12.0</v>
      </c>
      <c r="Q202" s="4">
        <v>950.0</v>
      </c>
      <c r="R202" s="6">
        <v>10.0</v>
      </c>
      <c r="S202" s="4">
        <v>64.0</v>
      </c>
      <c r="T202" s="6">
        <v>0.7</v>
      </c>
      <c r="U202" s="3" t="s">
        <v>1595</v>
      </c>
      <c r="V202" s="3" t="s">
        <v>1590</v>
      </c>
      <c r="W202" s="2" t="s">
        <v>1543</v>
      </c>
    </row>
    <row r="203" spans="8:8" ht="18.75" customHeight="1">
      <c r="A203" s="7" t="s">
        <v>1847</v>
      </c>
      <c r="B203" s="8" t="s">
        <v>1478</v>
      </c>
      <c r="C203" s="8" t="s">
        <v>571</v>
      </c>
      <c r="D203" s="8" t="s">
        <v>1838</v>
      </c>
      <c r="E203" s="8" t="s">
        <v>1480</v>
      </c>
      <c r="F203" s="9">
        <v>155.0</v>
      </c>
      <c r="G203" s="8" t="s">
        <v>1246</v>
      </c>
      <c r="H203" s="8" t="s">
        <v>1597</v>
      </c>
      <c r="I203" s="8" t="s">
        <v>1598</v>
      </c>
      <c r="J203" s="8" t="s">
        <v>1599</v>
      </c>
      <c r="K203" s="8" t="s">
        <v>1539</v>
      </c>
      <c r="L203" s="9">
        <v>165.0</v>
      </c>
      <c r="M203" s="10">
        <v>788.0</v>
      </c>
      <c r="N203" s="11">
        <v>6.4</v>
      </c>
      <c r="O203" s="8" t="s">
        <v>1600</v>
      </c>
      <c r="P203" s="9">
        <v>6.0</v>
      </c>
      <c r="Q203" s="9">
        <v>750.0</v>
      </c>
      <c r="R203" s="11">
        <v>14.0</v>
      </c>
      <c r="S203" s="9">
        <v>28.0</v>
      </c>
      <c r="T203" s="11">
        <v>0.36</v>
      </c>
      <c r="U203" s="8" t="s">
        <v>1601</v>
      </c>
      <c r="V203" s="8" t="s">
        <v>1602</v>
      </c>
      <c r="W203" s="7" t="s">
        <v>1543</v>
      </c>
    </row>
    <row r="204" spans="8:8" ht="18.75" customHeight="1">
      <c r="A204" s="2" t="s">
        <v>1848</v>
      </c>
      <c r="B204" s="3" t="s">
        <v>1478</v>
      </c>
      <c r="C204" s="3" t="s">
        <v>571</v>
      </c>
      <c r="D204" s="3" t="s">
        <v>1838</v>
      </c>
      <c r="E204" s="3" t="s">
        <v>1480</v>
      </c>
      <c r="F204" s="4">
        <v>155.0</v>
      </c>
      <c r="G204" s="3" t="s">
        <v>1246</v>
      </c>
      <c r="H204" s="3" t="s">
        <v>1604</v>
      </c>
      <c r="I204" s="3" t="s">
        <v>1605</v>
      </c>
      <c r="J204" s="3" t="s">
        <v>1606</v>
      </c>
      <c r="K204" s="3" t="s">
        <v>1569</v>
      </c>
      <c r="L204" s="4">
        <v>160.0</v>
      </c>
      <c r="M204" s="5">
        <v>828.0</v>
      </c>
      <c r="N204" s="6">
        <v>6.2</v>
      </c>
      <c r="O204" s="3" t="s">
        <v>1607</v>
      </c>
      <c r="P204" s="4">
        <v>8.0</v>
      </c>
      <c r="Q204" s="4">
        <v>800.0</v>
      </c>
      <c r="R204" s="6">
        <v>12.0</v>
      </c>
      <c r="S204" s="4">
        <v>35.0</v>
      </c>
      <c r="T204" s="6">
        <v>0.43</v>
      </c>
      <c r="U204" s="3" t="s">
        <v>1608</v>
      </c>
      <c r="V204" s="3" t="s">
        <v>1609</v>
      </c>
      <c r="W204" s="2" t="s">
        <v>1543</v>
      </c>
    </row>
    <row r="205" spans="8:8" ht="18.75" customHeight="1">
      <c r="A205" s="7" t="s">
        <v>1849</v>
      </c>
      <c r="B205" s="8" t="s">
        <v>1478</v>
      </c>
      <c r="C205" s="8" t="s">
        <v>571</v>
      </c>
      <c r="D205" s="8" t="s">
        <v>1838</v>
      </c>
      <c r="E205" s="8" t="s">
        <v>1480</v>
      </c>
      <c r="F205" s="9">
        <v>155.0</v>
      </c>
      <c r="G205" s="8" t="s">
        <v>1246</v>
      </c>
      <c r="H205" s="8" t="s">
        <v>1611</v>
      </c>
      <c r="I205" s="8" t="s">
        <v>1612</v>
      </c>
      <c r="J205" s="8" t="s">
        <v>1606</v>
      </c>
      <c r="K205" s="8" t="s">
        <v>1613</v>
      </c>
      <c r="L205" s="9">
        <v>250.0</v>
      </c>
      <c r="M205" s="10">
        <v>1060.0</v>
      </c>
      <c r="N205" s="11">
        <v>5.9</v>
      </c>
      <c r="O205" s="8" t="s">
        <v>1614</v>
      </c>
      <c r="P205" s="9">
        <v>14.0</v>
      </c>
      <c r="Q205" s="9">
        <v>1000.0</v>
      </c>
      <c r="R205" s="11">
        <v>10.0</v>
      </c>
      <c r="S205" s="9">
        <v>55.0</v>
      </c>
      <c r="T205" s="11">
        <v>0.52</v>
      </c>
      <c r="U205" s="8" t="s">
        <v>1615</v>
      </c>
      <c r="V205" s="8" t="s">
        <v>1616</v>
      </c>
      <c r="W205" s="7" t="s">
        <v>1543</v>
      </c>
    </row>
    <row r="206" spans="8:8" ht="18.75" customHeight="1">
      <c r="A206" s="2" t="s">
        <v>1850</v>
      </c>
      <c r="B206" s="3" t="s">
        <v>1478</v>
      </c>
      <c r="C206" s="3" t="s">
        <v>571</v>
      </c>
      <c r="D206" s="3" t="s">
        <v>1838</v>
      </c>
      <c r="E206" s="3" t="s">
        <v>1480</v>
      </c>
      <c r="F206" s="4">
        <v>155.0</v>
      </c>
      <c r="G206" s="3" t="s">
        <v>1257</v>
      </c>
      <c r="H206" s="3" t="s">
        <v>1618</v>
      </c>
      <c r="I206" s="3" t="s">
        <v>1619</v>
      </c>
      <c r="J206" s="3" t="s">
        <v>1599</v>
      </c>
      <c r="K206" s="3" t="s">
        <v>1620</v>
      </c>
      <c r="L206" s="4">
        <v>360.0</v>
      </c>
      <c r="M206" s="5">
        <v>1666.0</v>
      </c>
      <c r="N206" s="6">
        <v>8.5</v>
      </c>
      <c r="O206" s="3" t="s">
        <v>1621</v>
      </c>
      <c r="P206" s="4">
        <v>24.0</v>
      </c>
      <c r="Q206" s="4">
        <v>1350.0</v>
      </c>
      <c r="R206" s="6">
        <v>6.0</v>
      </c>
      <c r="S206" s="4">
        <v>1050.0</v>
      </c>
      <c r="T206" s="6">
        <v>6.36</v>
      </c>
      <c r="U206" s="3" t="s">
        <v>1622</v>
      </c>
      <c r="V206" s="3" t="s">
        <v>1623</v>
      </c>
      <c r="W206" s="2" t="s">
        <v>1543</v>
      </c>
    </row>
    <row r="207" spans="8:8" ht="18.75" customHeight="1">
      <c r="A207" s="7" t="s">
        <v>1851</v>
      </c>
      <c r="B207" s="8" t="s">
        <v>1478</v>
      </c>
      <c r="C207" s="8" t="s">
        <v>571</v>
      </c>
      <c r="D207" s="8" t="s">
        <v>1838</v>
      </c>
      <c r="E207" s="8" t="s">
        <v>1480</v>
      </c>
      <c r="F207" s="9">
        <v>155.0</v>
      </c>
      <c r="G207" s="8" t="s">
        <v>1257</v>
      </c>
      <c r="H207" s="8" t="s">
        <v>1625</v>
      </c>
      <c r="I207" s="8" t="s">
        <v>1626</v>
      </c>
      <c r="J207" s="8" t="s">
        <v>1627</v>
      </c>
      <c r="K207" s="8" t="s">
        <v>1628</v>
      </c>
      <c r="L207" s="9">
        <v>340.0</v>
      </c>
      <c r="M207" s="10">
        <v>1535.0</v>
      </c>
      <c r="N207" s="11">
        <v>8.2</v>
      </c>
      <c r="O207" s="8" t="s">
        <v>1629</v>
      </c>
      <c r="P207" s="9">
        <v>30.0</v>
      </c>
      <c r="Q207" s="9">
        <v>1300.0</v>
      </c>
      <c r="R207" s="11">
        <v>6.5</v>
      </c>
      <c r="S207" s="9">
        <v>650.0</v>
      </c>
      <c r="T207" s="11">
        <v>4.28</v>
      </c>
      <c r="U207" s="8" t="s">
        <v>1630</v>
      </c>
      <c r="V207" s="8" t="s">
        <v>1631</v>
      </c>
      <c r="W207" s="7" t="s">
        <v>1543</v>
      </c>
    </row>
    <row r="208" spans="8:8" ht="18.75" customHeight="1">
      <c r="A208" s="2" t="s">
        <v>1852</v>
      </c>
      <c r="B208" s="3" t="s">
        <v>1478</v>
      </c>
      <c r="C208" s="3" t="s">
        <v>571</v>
      </c>
      <c r="D208" s="3" t="s">
        <v>1838</v>
      </c>
      <c r="E208" s="3" t="s">
        <v>1480</v>
      </c>
      <c r="F208" s="4">
        <v>155.0</v>
      </c>
      <c r="G208" s="3" t="s">
        <v>1257</v>
      </c>
      <c r="H208" s="3" t="s">
        <v>1633</v>
      </c>
      <c r="I208" s="3" t="s">
        <v>1593</v>
      </c>
      <c r="J208" s="3" t="s">
        <v>1568</v>
      </c>
      <c r="K208" s="3" t="s">
        <v>1634</v>
      </c>
      <c r="L208" s="4">
        <v>240.0</v>
      </c>
      <c r="M208" s="5">
        <v>1868.0</v>
      </c>
      <c r="N208" s="6">
        <v>9.0</v>
      </c>
      <c r="O208" s="3" t="s">
        <v>1635</v>
      </c>
      <c r="P208" s="4">
        <v>28.0</v>
      </c>
      <c r="Q208" s="4">
        <v>1500.0</v>
      </c>
      <c r="R208" s="6">
        <v>4.5</v>
      </c>
      <c r="S208" s="4">
        <v>120.0</v>
      </c>
      <c r="T208" s="6">
        <v>0.65</v>
      </c>
      <c r="U208" s="3" t="s">
        <v>1636</v>
      </c>
      <c r="V208" s="3" t="s">
        <v>1637</v>
      </c>
      <c r="W208" s="2" t="s">
        <v>1543</v>
      </c>
    </row>
    <row r="209" spans="8:8" ht="18.75" customHeight="1">
      <c r="A209" s="7" t="s">
        <v>1853</v>
      </c>
      <c r="B209" s="8" t="s">
        <v>1478</v>
      </c>
      <c r="C209" s="8" t="s">
        <v>571</v>
      </c>
      <c r="D209" s="8" t="s">
        <v>1838</v>
      </c>
      <c r="E209" s="8" t="s">
        <v>1480</v>
      </c>
      <c r="F209" s="9">
        <v>155.0</v>
      </c>
      <c r="G209" s="8" t="s">
        <v>1257</v>
      </c>
      <c r="H209" s="8" t="s">
        <v>1639</v>
      </c>
      <c r="I209" s="8" t="s">
        <v>1640</v>
      </c>
      <c r="J209" s="8" t="s">
        <v>1641</v>
      </c>
      <c r="K209" s="8" t="s">
        <v>1642</v>
      </c>
      <c r="L209" s="9">
        <v>365.0</v>
      </c>
      <c r="M209" s="10">
        <v>1495.0</v>
      </c>
      <c r="N209" s="11">
        <v>7.2</v>
      </c>
      <c r="O209" s="8" t="s">
        <v>1643</v>
      </c>
      <c r="P209" s="9">
        <v>22.0</v>
      </c>
      <c r="Q209" s="9">
        <v>1400.0</v>
      </c>
      <c r="R209" s="11">
        <v>6.0</v>
      </c>
      <c r="S209" s="9">
        <v>140.0</v>
      </c>
      <c r="T209" s="11">
        <v>0.95</v>
      </c>
      <c r="U209" s="8" t="s">
        <v>1644</v>
      </c>
      <c r="V209" s="8" t="s">
        <v>1645</v>
      </c>
      <c r="W209" s="7" t="s">
        <v>1543</v>
      </c>
    </row>
    <row r="210" spans="8:8" ht="18.75" customHeight="1">
      <c r="A210" s="2" t="s">
        <v>1854</v>
      </c>
      <c r="B210" s="3" t="s">
        <v>1485</v>
      </c>
      <c r="C210" s="3" t="s">
        <v>740</v>
      </c>
      <c r="D210" s="3" t="s">
        <v>1855</v>
      </c>
      <c r="E210" s="3" t="s">
        <v>1487</v>
      </c>
      <c r="F210" s="4">
        <v>160.0</v>
      </c>
      <c r="G210" s="3" t="s">
        <v>1222</v>
      </c>
      <c r="H210" s="3" t="s">
        <v>1536</v>
      </c>
      <c r="I210" s="3" t="s">
        <v>1537</v>
      </c>
      <c r="J210" s="3" t="s">
        <v>1538</v>
      </c>
      <c r="K210" s="3" t="s">
        <v>1539</v>
      </c>
      <c r="L210" s="4">
        <v>80.0</v>
      </c>
      <c r="M210" s="5">
        <v>310.0</v>
      </c>
      <c r="N210" s="6">
        <v>4.2</v>
      </c>
      <c r="O210" s="3" t="s">
        <v>1540</v>
      </c>
      <c r="P210" s="4">
        <v>1.0</v>
      </c>
      <c r="Q210" s="4">
        <v>280.0</v>
      </c>
      <c r="R210" s="6">
        <v>35.0</v>
      </c>
      <c r="S210" s="4">
        <v>24.0</v>
      </c>
      <c r="T210" s="6">
        <v>0.77</v>
      </c>
      <c r="U210" s="3" t="s">
        <v>1541</v>
      </c>
      <c r="V210" s="3" t="s">
        <v>1542</v>
      </c>
      <c r="W210" s="2" t="s">
        <v>1543</v>
      </c>
    </row>
    <row r="211" spans="8:8" ht="18.75" customHeight="1">
      <c r="A211" s="7" t="s">
        <v>1856</v>
      </c>
      <c r="B211" s="8" t="s">
        <v>1485</v>
      </c>
      <c r="C211" s="8" t="s">
        <v>740</v>
      </c>
      <c r="D211" s="8" t="s">
        <v>1855</v>
      </c>
      <c r="E211" s="8" t="s">
        <v>1487</v>
      </c>
      <c r="F211" s="9">
        <v>160.0</v>
      </c>
      <c r="G211" s="8" t="s">
        <v>1222</v>
      </c>
      <c r="H211" s="8" t="s">
        <v>1545</v>
      </c>
      <c r="I211" s="8" t="s">
        <v>1546</v>
      </c>
      <c r="J211" s="8" t="s">
        <v>1547</v>
      </c>
      <c r="K211" s="8" t="s">
        <v>1548</v>
      </c>
      <c r="L211" s="9">
        <v>105.0</v>
      </c>
      <c r="M211" s="10">
        <v>340.0</v>
      </c>
      <c r="N211" s="11">
        <v>3.8</v>
      </c>
      <c r="O211" s="8" t="s">
        <v>1549</v>
      </c>
      <c r="P211" s="9">
        <v>2.0</v>
      </c>
      <c r="Q211" s="9">
        <v>350.0</v>
      </c>
      <c r="R211" s="11">
        <v>28.0</v>
      </c>
      <c r="S211" s="9">
        <v>20.0</v>
      </c>
      <c r="T211" s="11">
        <v>0.59</v>
      </c>
      <c r="U211" s="8" t="s">
        <v>1550</v>
      </c>
      <c r="V211" s="8" t="s">
        <v>1551</v>
      </c>
      <c r="W211" s="7" t="s">
        <v>1543</v>
      </c>
    </row>
    <row r="212" spans="8:8" ht="18.75" customHeight="1">
      <c r="A212" s="2" t="s">
        <v>1857</v>
      </c>
      <c r="B212" s="3" t="s">
        <v>1485</v>
      </c>
      <c r="C212" s="3" t="s">
        <v>740</v>
      </c>
      <c r="D212" s="3" t="s">
        <v>1855</v>
      </c>
      <c r="E212" s="3" t="s">
        <v>1487</v>
      </c>
      <c r="F212" s="4">
        <v>160.0</v>
      </c>
      <c r="G212" s="3" t="s">
        <v>1222</v>
      </c>
      <c r="H212" s="3" t="s">
        <v>1553</v>
      </c>
      <c r="I212" s="3" t="s">
        <v>1554</v>
      </c>
      <c r="J212" s="3" t="s">
        <v>1538</v>
      </c>
      <c r="K212" s="3" t="s">
        <v>1539</v>
      </c>
      <c r="L212" s="4">
        <v>75.0</v>
      </c>
      <c r="M212" s="5">
        <v>275.0</v>
      </c>
      <c r="N212" s="6">
        <v>3.9</v>
      </c>
      <c r="O212" s="3" t="s">
        <v>1555</v>
      </c>
      <c r="P212" s="4">
        <v>1.0</v>
      </c>
      <c r="Q212" s="4">
        <v>250.0</v>
      </c>
      <c r="R212" s="6">
        <v>38.0</v>
      </c>
      <c r="S212" s="4">
        <v>18.0</v>
      </c>
      <c r="T212" s="6">
        <v>0.65</v>
      </c>
      <c r="U212" s="3" t="s">
        <v>1556</v>
      </c>
      <c r="V212" s="3" t="s">
        <v>1557</v>
      </c>
      <c r="W212" s="2" t="s">
        <v>1543</v>
      </c>
    </row>
    <row r="213" spans="8:8" ht="18.75" customHeight="1">
      <c r="A213" s="7" t="s">
        <v>1858</v>
      </c>
      <c r="B213" s="8" t="s">
        <v>1485</v>
      </c>
      <c r="C213" s="8" t="s">
        <v>740</v>
      </c>
      <c r="D213" s="8" t="s">
        <v>1855</v>
      </c>
      <c r="E213" s="8" t="s">
        <v>1487</v>
      </c>
      <c r="F213" s="9">
        <v>160.0</v>
      </c>
      <c r="G213" s="8" t="s">
        <v>1222</v>
      </c>
      <c r="H213" s="8" t="s">
        <v>1559</v>
      </c>
      <c r="I213" s="8" t="s">
        <v>1560</v>
      </c>
      <c r="J213" s="8" t="s">
        <v>1561</v>
      </c>
      <c r="K213" s="8" t="s">
        <v>1548</v>
      </c>
      <c r="L213" s="9">
        <v>110.0</v>
      </c>
      <c r="M213" s="10">
        <v>360.0</v>
      </c>
      <c r="N213" s="11">
        <v>4.0</v>
      </c>
      <c r="O213" s="8" t="s">
        <v>1562</v>
      </c>
      <c r="P213" s="9">
        <v>2.0</v>
      </c>
      <c r="Q213" s="9">
        <v>380.0</v>
      </c>
      <c r="R213" s="11">
        <v>30.0</v>
      </c>
      <c r="S213" s="9">
        <v>19.0</v>
      </c>
      <c r="T213" s="11">
        <v>0.53</v>
      </c>
      <c r="U213" s="8" t="s">
        <v>1563</v>
      </c>
      <c r="V213" s="8" t="s">
        <v>1564</v>
      </c>
      <c r="W213" s="7" t="s">
        <v>1543</v>
      </c>
    </row>
    <row r="214" spans="8:8" ht="18.75" customHeight="1">
      <c r="A214" s="2" t="s">
        <v>1859</v>
      </c>
      <c r="B214" s="3" t="s">
        <v>1485</v>
      </c>
      <c r="C214" s="3" t="s">
        <v>740</v>
      </c>
      <c r="D214" s="3" t="s">
        <v>1855</v>
      </c>
      <c r="E214" s="3" t="s">
        <v>1487</v>
      </c>
      <c r="F214" s="4">
        <v>160.0</v>
      </c>
      <c r="G214" s="3" t="s">
        <v>1235</v>
      </c>
      <c r="H214" s="3" t="s">
        <v>1566</v>
      </c>
      <c r="I214" s="3" t="s">
        <v>1567</v>
      </c>
      <c r="J214" s="3" t="s">
        <v>1568</v>
      </c>
      <c r="K214" s="3" t="s">
        <v>1569</v>
      </c>
      <c r="L214" s="4">
        <v>105.0</v>
      </c>
      <c r="M214" s="5">
        <v>540.0</v>
      </c>
      <c r="N214" s="6">
        <v>5.8</v>
      </c>
      <c r="O214" s="3" t="s">
        <v>1570</v>
      </c>
      <c r="P214" s="4">
        <v>4.0</v>
      </c>
      <c r="Q214" s="4">
        <v>580.0</v>
      </c>
      <c r="R214" s="6">
        <v>18.0</v>
      </c>
      <c r="S214" s="4">
        <v>62.0</v>
      </c>
      <c r="T214" s="6">
        <v>1.15</v>
      </c>
      <c r="U214" s="3" t="s">
        <v>1571</v>
      </c>
      <c r="V214" s="3" t="s">
        <v>1572</v>
      </c>
      <c r="W214" s="2" t="s">
        <v>1543</v>
      </c>
    </row>
    <row r="215" spans="8:8" ht="18.75" customHeight="1">
      <c r="A215" s="7" t="s">
        <v>1860</v>
      </c>
      <c r="B215" s="8" t="s">
        <v>1485</v>
      </c>
      <c r="C215" s="8" t="s">
        <v>740</v>
      </c>
      <c r="D215" s="8" t="s">
        <v>1855</v>
      </c>
      <c r="E215" s="8" t="s">
        <v>1487</v>
      </c>
      <c r="F215" s="9">
        <v>160.0</v>
      </c>
      <c r="G215" s="8" t="s">
        <v>1235</v>
      </c>
      <c r="H215" s="8" t="s">
        <v>1574</v>
      </c>
      <c r="I215" s="8" t="s">
        <v>1575</v>
      </c>
      <c r="J215" s="8" t="s">
        <v>1561</v>
      </c>
      <c r="K215" s="8" t="s">
        <v>1569</v>
      </c>
      <c r="L215" s="9">
        <v>110.0</v>
      </c>
      <c r="M215" s="10">
        <v>510.0</v>
      </c>
      <c r="N215" s="11">
        <v>5.2</v>
      </c>
      <c r="O215" s="8" t="s">
        <v>1576</v>
      </c>
      <c r="P215" s="9">
        <v>4.0</v>
      </c>
      <c r="Q215" s="9">
        <v>550.0</v>
      </c>
      <c r="R215" s="11">
        <v>16.0</v>
      </c>
      <c r="S215" s="9">
        <v>26.0</v>
      </c>
      <c r="T215" s="11">
        <v>0.51</v>
      </c>
      <c r="U215" s="8" t="s">
        <v>1577</v>
      </c>
      <c r="V215" s="8" t="s">
        <v>1578</v>
      </c>
      <c r="W215" s="7" t="s">
        <v>1543</v>
      </c>
    </row>
    <row r="216" spans="8:8" ht="18.75" customHeight="1">
      <c r="A216" s="2" t="s">
        <v>1861</v>
      </c>
      <c r="B216" s="3" t="s">
        <v>1485</v>
      </c>
      <c r="C216" s="3" t="s">
        <v>740</v>
      </c>
      <c r="D216" s="3" t="s">
        <v>1855</v>
      </c>
      <c r="E216" s="3" t="s">
        <v>1487</v>
      </c>
      <c r="F216" s="4">
        <v>160.0</v>
      </c>
      <c r="G216" s="3" t="s">
        <v>1235</v>
      </c>
      <c r="H216" s="3" t="s">
        <v>1580</v>
      </c>
      <c r="I216" s="3" t="s">
        <v>1581</v>
      </c>
      <c r="J216" s="3" t="s">
        <v>1547</v>
      </c>
      <c r="K216" s="3" t="s">
        <v>1539</v>
      </c>
      <c r="L216" s="4">
        <v>160.0</v>
      </c>
      <c r="M216" s="5">
        <v>560.0</v>
      </c>
      <c r="N216" s="6">
        <v>4.8</v>
      </c>
      <c r="O216" s="3" t="s">
        <v>1582</v>
      </c>
      <c r="P216" s="4">
        <v>3.0</v>
      </c>
      <c r="Q216" s="4">
        <v>600.0</v>
      </c>
      <c r="R216" s="6">
        <v>20.0</v>
      </c>
      <c r="S216" s="4">
        <v>18.0</v>
      </c>
      <c r="T216" s="6">
        <v>0.32</v>
      </c>
      <c r="U216" s="3" t="s">
        <v>1583</v>
      </c>
      <c r="V216" s="3" t="s">
        <v>1584</v>
      </c>
      <c r="W216" s="2" t="s">
        <v>1543</v>
      </c>
    </row>
    <row r="217" spans="8:8" ht="18.75" customHeight="1">
      <c r="A217" s="7" t="s">
        <v>1862</v>
      </c>
      <c r="B217" s="8" t="s">
        <v>1485</v>
      </c>
      <c r="C217" s="8" t="s">
        <v>740</v>
      </c>
      <c r="D217" s="8" t="s">
        <v>1855</v>
      </c>
      <c r="E217" s="8" t="s">
        <v>1487</v>
      </c>
      <c r="F217" s="9">
        <v>160.0</v>
      </c>
      <c r="G217" s="8" t="s">
        <v>1235</v>
      </c>
      <c r="H217" s="8" t="s">
        <v>1586</v>
      </c>
      <c r="I217" s="8" t="s">
        <v>1587</v>
      </c>
      <c r="J217" s="8" t="s">
        <v>1568</v>
      </c>
      <c r="K217" s="8" t="s">
        <v>1548</v>
      </c>
      <c r="L217" s="9">
        <v>120.0</v>
      </c>
      <c r="M217" s="10">
        <v>480.0</v>
      </c>
      <c r="N217" s="11">
        <v>4.6</v>
      </c>
      <c r="O217" s="8" t="s">
        <v>1588</v>
      </c>
      <c r="P217" s="9">
        <v>5.0</v>
      </c>
      <c r="Q217" s="9">
        <v>500.0</v>
      </c>
      <c r="R217" s="11">
        <v>18.0</v>
      </c>
      <c r="S217" s="9">
        <v>48.0</v>
      </c>
      <c r="T217" s="11">
        <v>1.0</v>
      </c>
      <c r="U217" s="8" t="s">
        <v>1589</v>
      </c>
      <c r="V217" s="8" t="s">
        <v>1590</v>
      </c>
      <c r="W217" s="7" t="s">
        <v>1543</v>
      </c>
    </row>
    <row r="218" spans="8:8" ht="18.75" customHeight="1">
      <c r="A218" s="2" t="s">
        <v>1863</v>
      </c>
      <c r="B218" s="3" t="s">
        <v>1485</v>
      </c>
      <c r="C218" s="3" t="s">
        <v>740</v>
      </c>
      <c r="D218" s="3" t="s">
        <v>1855</v>
      </c>
      <c r="E218" s="3" t="s">
        <v>1487</v>
      </c>
      <c r="F218" s="4">
        <v>160.0</v>
      </c>
      <c r="G218" s="3" t="s">
        <v>1246</v>
      </c>
      <c r="H218" s="3" t="s">
        <v>1592</v>
      </c>
      <c r="I218" s="3" t="s">
        <v>1593</v>
      </c>
      <c r="J218" s="3" t="s">
        <v>1568</v>
      </c>
      <c r="K218" s="3" t="s">
        <v>1569</v>
      </c>
      <c r="L218" s="4">
        <v>125.0</v>
      </c>
      <c r="M218" s="5">
        <v>920.0</v>
      </c>
      <c r="N218" s="6">
        <v>7.8</v>
      </c>
      <c r="O218" s="3" t="s">
        <v>1594</v>
      </c>
      <c r="P218" s="4">
        <v>12.0</v>
      </c>
      <c r="Q218" s="4">
        <v>950.0</v>
      </c>
      <c r="R218" s="6">
        <v>10.0</v>
      </c>
      <c r="S218" s="4">
        <v>64.0</v>
      </c>
      <c r="T218" s="6">
        <v>0.7</v>
      </c>
      <c r="U218" s="3" t="s">
        <v>1595</v>
      </c>
      <c r="V218" s="3" t="s">
        <v>1590</v>
      </c>
      <c r="W218" s="2" t="s">
        <v>1543</v>
      </c>
    </row>
    <row r="219" spans="8:8" ht="18.75" customHeight="1">
      <c r="A219" s="7" t="s">
        <v>1864</v>
      </c>
      <c r="B219" s="8" t="s">
        <v>1485</v>
      </c>
      <c r="C219" s="8" t="s">
        <v>740</v>
      </c>
      <c r="D219" s="8" t="s">
        <v>1855</v>
      </c>
      <c r="E219" s="8" t="s">
        <v>1487</v>
      </c>
      <c r="F219" s="9">
        <v>160.0</v>
      </c>
      <c r="G219" s="8" t="s">
        <v>1246</v>
      </c>
      <c r="H219" s="8" t="s">
        <v>1597</v>
      </c>
      <c r="I219" s="8" t="s">
        <v>1598</v>
      </c>
      <c r="J219" s="8" t="s">
        <v>1599</v>
      </c>
      <c r="K219" s="8" t="s">
        <v>1539</v>
      </c>
      <c r="L219" s="9">
        <v>165.0</v>
      </c>
      <c r="M219" s="10">
        <v>780.0</v>
      </c>
      <c r="N219" s="11">
        <v>6.4</v>
      </c>
      <c r="O219" s="8" t="s">
        <v>1600</v>
      </c>
      <c r="P219" s="9">
        <v>6.0</v>
      </c>
      <c r="Q219" s="9">
        <v>750.0</v>
      </c>
      <c r="R219" s="11">
        <v>14.0</v>
      </c>
      <c r="S219" s="9">
        <v>28.0</v>
      </c>
      <c r="T219" s="11">
        <v>0.36</v>
      </c>
      <c r="U219" s="8" t="s">
        <v>1601</v>
      </c>
      <c r="V219" s="8" t="s">
        <v>1602</v>
      </c>
      <c r="W219" s="7" t="s">
        <v>1543</v>
      </c>
    </row>
    <row r="220" spans="8:8" ht="18.75" customHeight="1">
      <c r="A220" s="2" t="s">
        <v>1865</v>
      </c>
      <c r="B220" s="3" t="s">
        <v>1485</v>
      </c>
      <c r="C220" s="3" t="s">
        <v>740</v>
      </c>
      <c r="D220" s="3" t="s">
        <v>1855</v>
      </c>
      <c r="E220" s="3" t="s">
        <v>1487</v>
      </c>
      <c r="F220" s="4">
        <v>160.0</v>
      </c>
      <c r="G220" s="3" t="s">
        <v>1246</v>
      </c>
      <c r="H220" s="3" t="s">
        <v>1604</v>
      </c>
      <c r="I220" s="3" t="s">
        <v>1605</v>
      </c>
      <c r="J220" s="3" t="s">
        <v>1606</v>
      </c>
      <c r="K220" s="3" t="s">
        <v>1569</v>
      </c>
      <c r="L220" s="4">
        <v>160.0</v>
      </c>
      <c r="M220" s="5">
        <v>820.0</v>
      </c>
      <c r="N220" s="6">
        <v>6.2</v>
      </c>
      <c r="O220" s="3" t="s">
        <v>1607</v>
      </c>
      <c r="P220" s="4">
        <v>8.0</v>
      </c>
      <c r="Q220" s="4">
        <v>800.0</v>
      </c>
      <c r="R220" s="6">
        <v>12.0</v>
      </c>
      <c r="S220" s="4">
        <v>35.0</v>
      </c>
      <c r="T220" s="6">
        <v>0.43</v>
      </c>
      <c r="U220" s="3" t="s">
        <v>1608</v>
      </c>
      <c r="V220" s="3" t="s">
        <v>1609</v>
      </c>
      <c r="W220" s="2" t="s">
        <v>1543</v>
      </c>
    </row>
    <row r="221" spans="8:8" ht="18.75" customHeight="1">
      <c r="A221" s="7" t="s">
        <v>1866</v>
      </c>
      <c r="B221" s="8" t="s">
        <v>1485</v>
      </c>
      <c r="C221" s="8" t="s">
        <v>740</v>
      </c>
      <c r="D221" s="8" t="s">
        <v>1855</v>
      </c>
      <c r="E221" s="8" t="s">
        <v>1487</v>
      </c>
      <c r="F221" s="9">
        <v>160.0</v>
      </c>
      <c r="G221" s="8" t="s">
        <v>1246</v>
      </c>
      <c r="H221" s="8" t="s">
        <v>1611</v>
      </c>
      <c r="I221" s="8" t="s">
        <v>1612</v>
      </c>
      <c r="J221" s="8" t="s">
        <v>1606</v>
      </c>
      <c r="K221" s="8" t="s">
        <v>1613</v>
      </c>
      <c r="L221" s="9">
        <v>250.0</v>
      </c>
      <c r="M221" s="10">
        <v>1050.0</v>
      </c>
      <c r="N221" s="11">
        <v>5.9</v>
      </c>
      <c r="O221" s="8" t="s">
        <v>1614</v>
      </c>
      <c r="P221" s="9">
        <v>14.0</v>
      </c>
      <c r="Q221" s="9">
        <v>1000.0</v>
      </c>
      <c r="R221" s="11">
        <v>10.0</v>
      </c>
      <c r="S221" s="9">
        <v>55.0</v>
      </c>
      <c r="T221" s="11">
        <v>0.52</v>
      </c>
      <c r="U221" s="8" t="s">
        <v>1615</v>
      </c>
      <c r="V221" s="8" t="s">
        <v>1616</v>
      </c>
      <c r="W221" s="7" t="s">
        <v>1543</v>
      </c>
    </row>
    <row r="222" spans="8:8" ht="18.75" customHeight="1">
      <c r="A222" s="2" t="s">
        <v>1867</v>
      </c>
      <c r="B222" s="3" t="s">
        <v>1485</v>
      </c>
      <c r="C222" s="3" t="s">
        <v>740</v>
      </c>
      <c r="D222" s="3" t="s">
        <v>1855</v>
      </c>
      <c r="E222" s="3" t="s">
        <v>1487</v>
      </c>
      <c r="F222" s="4">
        <v>160.0</v>
      </c>
      <c r="G222" s="3" t="s">
        <v>1257</v>
      </c>
      <c r="H222" s="3" t="s">
        <v>1618</v>
      </c>
      <c r="I222" s="3" t="s">
        <v>1619</v>
      </c>
      <c r="J222" s="3" t="s">
        <v>1599</v>
      </c>
      <c r="K222" s="3" t="s">
        <v>1620</v>
      </c>
      <c r="L222" s="4">
        <v>360.0</v>
      </c>
      <c r="M222" s="5">
        <v>1650.0</v>
      </c>
      <c r="N222" s="6">
        <v>8.5</v>
      </c>
      <c r="O222" s="3" t="s">
        <v>1621</v>
      </c>
      <c r="P222" s="4">
        <v>24.0</v>
      </c>
      <c r="Q222" s="4">
        <v>1350.0</v>
      </c>
      <c r="R222" s="6">
        <v>6.0</v>
      </c>
      <c r="S222" s="4">
        <v>1050.0</v>
      </c>
      <c r="T222" s="6">
        <v>6.36</v>
      </c>
      <c r="U222" s="3" t="s">
        <v>1622</v>
      </c>
      <c r="V222" s="3" t="s">
        <v>1623</v>
      </c>
      <c r="W222" s="2" t="s">
        <v>1543</v>
      </c>
    </row>
    <row r="223" spans="8:8" ht="18.75" customHeight="1">
      <c r="A223" s="7" t="s">
        <v>1868</v>
      </c>
      <c r="B223" s="8" t="s">
        <v>1485</v>
      </c>
      <c r="C223" s="8" t="s">
        <v>740</v>
      </c>
      <c r="D223" s="8" t="s">
        <v>1855</v>
      </c>
      <c r="E223" s="8" t="s">
        <v>1487</v>
      </c>
      <c r="F223" s="9">
        <v>160.0</v>
      </c>
      <c r="G223" s="8" t="s">
        <v>1257</v>
      </c>
      <c r="H223" s="8" t="s">
        <v>1625</v>
      </c>
      <c r="I223" s="8" t="s">
        <v>1626</v>
      </c>
      <c r="J223" s="8" t="s">
        <v>1627</v>
      </c>
      <c r="K223" s="8" t="s">
        <v>1628</v>
      </c>
      <c r="L223" s="9">
        <v>340.0</v>
      </c>
      <c r="M223" s="10">
        <v>1520.0</v>
      </c>
      <c r="N223" s="11">
        <v>8.2</v>
      </c>
      <c r="O223" s="8" t="s">
        <v>1629</v>
      </c>
      <c r="P223" s="9">
        <v>30.0</v>
      </c>
      <c r="Q223" s="9">
        <v>1300.0</v>
      </c>
      <c r="R223" s="11">
        <v>6.5</v>
      </c>
      <c r="S223" s="9">
        <v>650.0</v>
      </c>
      <c r="T223" s="11">
        <v>4.28</v>
      </c>
      <c r="U223" s="8" t="s">
        <v>1630</v>
      </c>
      <c r="V223" s="8" t="s">
        <v>1631</v>
      </c>
      <c r="W223" s="7" t="s">
        <v>1543</v>
      </c>
    </row>
    <row r="224" spans="8:8" ht="18.75" customHeight="1">
      <c r="A224" s="2" t="s">
        <v>1869</v>
      </c>
      <c r="B224" s="3" t="s">
        <v>1485</v>
      </c>
      <c r="C224" s="3" t="s">
        <v>740</v>
      </c>
      <c r="D224" s="3" t="s">
        <v>1855</v>
      </c>
      <c r="E224" s="3" t="s">
        <v>1487</v>
      </c>
      <c r="F224" s="4">
        <v>160.0</v>
      </c>
      <c r="G224" s="3" t="s">
        <v>1257</v>
      </c>
      <c r="H224" s="3" t="s">
        <v>1633</v>
      </c>
      <c r="I224" s="3" t="s">
        <v>1593</v>
      </c>
      <c r="J224" s="3" t="s">
        <v>1568</v>
      </c>
      <c r="K224" s="3" t="s">
        <v>1634</v>
      </c>
      <c r="L224" s="4">
        <v>240.0</v>
      </c>
      <c r="M224" s="5">
        <v>1850.0</v>
      </c>
      <c r="N224" s="6">
        <v>9.0</v>
      </c>
      <c r="O224" s="3" t="s">
        <v>1635</v>
      </c>
      <c r="P224" s="4">
        <v>28.0</v>
      </c>
      <c r="Q224" s="4">
        <v>1500.0</v>
      </c>
      <c r="R224" s="6">
        <v>4.5</v>
      </c>
      <c r="S224" s="4">
        <v>120.0</v>
      </c>
      <c r="T224" s="6">
        <v>0.65</v>
      </c>
      <c r="U224" s="3" t="s">
        <v>1636</v>
      </c>
      <c r="V224" s="3" t="s">
        <v>1637</v>
      </c>
      <c r="W224" s="2" t="s">
        <v>1543</v>
      </c>
    </row>
    <row r="225" spans="8:8" ht="18.75" customHeight="1">
      <c r="A225" s="7" t="s">
        <v>1870</v>
      </c>
      <c r="B225" s="8" t="s">
        <v>1485</v>
      </c>
      <c r="C225" s="8" t="s">
        <v>740</v>
      </c>
      <c r="D225" s="8" t="s">
        <v>1855</v>
      </c>
      <c r="E225" s="8" t="s">
        <v>1487</v>
      </c>
      <c r="F225" s="9">
        <v>160.0</v>
      </c>
      <c r="G225" s="8" t="s">
        <v>1257</v>
      </c>
      <c r="H225" s="8" t="s">
        <v>1639</v>
      </c>
      <c r="I225" s="8" t="s">
        <v>1640</v>
      </c>
      <c r="J225" s="8" t="s">
        <v>1641</v>
      </c>
      <c r="K225" s="8" t="s">
        <v>1642</v>
      </c>
      <c r="L225" s="9">
        <v>365.0</v>
      </c>
      <c r="M225" s="10">
        <v>1480.0</v>
      </c>
      <c r="N225" s="11">
        <v>7.2</v>
      </c>
      <c r="O225" s="8" t="s">
        <v>1643</v>
      </c>
      <c r="P225" s="9">
        <v>22.0</v>
      </c>
      <c r="Q225" s="9">
        <v>1400.0</v>
      </c>
      <c r="R225" s="11">
        <v>6.0</v>
      </c>
      <c r="S225" s="9">
        <v>140.0</v>
      </c>
      <c r="T225" s="11">
        <v>0.95</v>
      </c>
      <c r="U225" s="8" t="s">
        <v>1644</v>
      </c>
      <c r="V225" s="8" t="s">
        <v>1645</v>
      </c>
      <c r="W225" s="7" t="s">
        <v>1543</v>
      </c>
    </row>
    <row r="226" spans="8:8" ht="18.75" customHeight="1">
      <c r="A226" s="2" t="s">
        <v>1871</v>
      </c>
      <c r="B226" s="3" t="s">
        <v>1509</v>
      </c>
      <c r="C226" s="3" t="s">
        <v>376</v>
      </c>
      <c r="D226" s="3" t="s">
        <v>1872</v>
      </c>
      <c r="E226" s="3" t="s">
        <v>1511</v>
      </c>
      <c r="F226" s="4">
        <v>215.0</v>
      </c>
      <c r="G226" s="3" t="s">
        <v>1222</v>
      </c>
      <c r="H226" s="3" t="s">
        <v>1536</v>
      </c>
      <c r="I226" s="3" t="s">
        <v>1537</v>
      </c>
      <c r="J226" s="3" t="s">
        <v>1538</v>
      </c>
      <c r="K226" s="3" t="s">
        <v>1539</v>
      </c>
      <c r="L226" s="4">
        <v>80.0</v>
      </c>
      <c r="M226" s="5">
        <v>288.0</v>
      </c>
      <c r="N226" s="6">
        <v>4.2</v>
      </c>
      <c r="O226" s="3" t="s">
        <v>1540</v>
      </c>
      <c r="P226" s="4">
        <v>1.0</v>
      </c>
      <c r="Q226" s="4">
        <v>280.0</v>
      </c>
      <c r="R226" s="6">
        <v>35.0</v>
      </c>
      <c r="S226" s="4">
        <v>24.0</v>
      </c>
      <c r="T226" s="6">
        <v>0.77</v>
      </c>
      <c r="U226" s="3" t="s">
        <v>1541</v>
      </c>
      <c r="V226" s="3" t="s">
        <v>1542</v>
      </c>
      <c r="W226" s="2" t="s">
        <v>1543</v>
      </c>
    </row>
    <row r="227" spans="8:8" ht="18.75" customHeight="1">
      <c r="A227" s="7" t="s">
        <v>1873</v>
      </c>
      <c r="B227" s="8" t="s">
        <v>1509</v>
      </c>
      <c r="C227" s="8" t="s">
        <v>376</v>
      </c>
      <c r="D227" s="8" t="s">
        <v>1872</v>
      </c>
      <c r="E227" s="8" t="s">
        <v>1511</v>
      </c>
      <c r="F227" s="9">
        <v>215.0</v>
      </c>
      <c r="G227" s="8" t="s">
        <v>1222</v>
      </c>
      <c r="H227" s="8" t="s">
        <v>1545</v>
      </c>
      <c r="I227" s="8" t="s">
        <v>1546</v>
      </c>
      <c r="J227" s="8" t="s">
        <v>1547</v>
      </c>
      <c r="K227" s="8" t="s">
        <v>1548</v>
      </c>
      <c r="L227" s="9">
        <v>105.0</v>
      </c>
      <c r="M227" s="10">
        <v>316.0</v>
      </c>
      <c r="N227" s="11">
        <v>3.8</v>
      </c>
      <c r="O227" s="8" t="s">
        <v>1549</v>
      </c>
      <c r="P227" s="9">
        <v>2.0</v>
      </c>
      <c r="Q227" s="9">
        <v>350.0</v>
      </c>
      <c r="R227" s="11">
        <v>28.0</v>
      </c>
      <c r="S227" s="9">
        <v>20.0</v>
      </c>
      <c r="T227" s="11">
        <v>0.59</v>
      </c>
      <c r="U227" s="8" t="s">
        <v>1550</v>
      </c>
      <c r="V227" s="8" t="s">
        <v>1551</v>
      </c>
      <c r="W227" s="7" t="s">
        <v>1543</v>
      </c>
    </row>
    <row r="228" spans="8:8" ht="18.75" customHeight="1">
      <c r="A228" s="2" t="s">
        <v>1874</v>
      </c>
      <c r="B228" s="3" t="s">
        <v>1509</v>
      </c>
      <c r="C228" s="3" t="s">
        <v>376</v>
      </c>
      <c r="D228" s="3" t="s">
        <v>1872</v>
      </c>
      <c r="E228" s="3" t="s">
        <v>1511</v>
      </c>
      <c r="F228" s="4">
        <v>215.0</v>
      </c>
      <c r="G228" s="3" t="s">
        <v>1222</v>
      </c>
      <c r="H228" s="3" t="s">
        <v>1553</v>
      </c>
      <c r="I228" s="3" t="s">
        <v>1554</v>
      </c>
      <c r="J228" s="3" t="s">
        <v>1538</v>
      </c>
      <c r="K228" s="3" t="s">
        <v>1539</v>
      </c>
      <c r="L228" s="4">
        <v>75.0</v>
      </c>
      <c r="M228" s="5">
        <v>256.0</v>
      </c>
      <c r="N228" s="6">
        <v>3.9</v>
      </c>
      <c r="O228" s="3" t="s">
        <v>1555</v>
      </c>
      <c r="P228" s="4">
        <v>1.0</v>
      </c>
      <c r="Q228" s="4">
        <v>250.0</v>
      </c>
      <c r="R228" s="6">
        <v>38.0</v>
      </c>
      <c r="S228" s="4">
        <v>18.0</v>
      </c>
      <c r="T228" s="6">
        <v>0.65</v>
      </c>
      <c r="U228" s="3" t="s">
        <v>1556</v>
      </c>
      <c r="V228" s="3" t="s">
        <v>1557</v>
      </c>
      <c r="W228" s="2" t="s">
        <v>1543</v>
      </c>
    </row>
    <row r="229" spans="8:8" ht="18.75" customHeight="1">
      <c r="A229" s="7" t="s">
        <v>1875</v>
      </c>
      <c r="B229" s="8" t="s">
        <v>1509</v>
      </c>
      <c r="C229" s="8" t="s">
        <v>376</v>
      </c>
      <c r="D229" s="8" t="s">
        <v>1872</v>
      </c>
      <c r="E229" s="8" t="s">
        <v>1511</v>
      </c>
      <c r="F229" s="9">
        <v>215.0</v>
      </c>
      <c r="G229" s="8" t="s">
        <v>1222</v>
      </c>
      <c r="H229" s="8" t="s">
        <v>1559</v>
      </c>
      <c r="I229" s="8" t="s">
        <v>1560</v>
      </c>
      <c r="J229" s="8" t="s">
        <v>1561</v>
      </c>
      <c r="K229" s="8" t="s">
        <v>1548</v>
      </c>
      <c r="L229" s="9">
        <v>110.0</v>
      </c>
      <c r="M229" s="10">
        <v>335.0</v>
      </c>
      <c r="N229" s="11">
        <v>4.0</v>
      </c>
      <c r="O229" s="8" t="s">
        <v>1562</v>
      </c>
      <c r="P229" s="9">
        <v>2.0</v>
      </c>
      <c r="Q229" s="9">
        <v>380.0</v>
      </c>
      <c r="R229" s="11">
        <v>30.0</v>
      </c>
      <c r="S229" s="9">
        <v>19.0</v>
      </c>
      <c r="T229" s="11">
        <v>0.53</v>
      </c>
      <c r="U229" s="8" t="s">
        <v>1563</v>
      </c>
      <c r="V229" s="8" t="s">
        <v>1564</v>
      </c>
      <c r="W229" s="7" t="s">
        <v>1543</v>
      </c>
    </row>
    <row r="230" spans="8:8" ht="18.75" customHeight="1">
      <c r="A230" s="2" t="s">
        <v>1876</v>
      </c>
      <c r="B230" s="3" t="s">
        <v>1509</v>
      </c>
      <c r="C230" s="3" t="s">
        <v>376</v>
      </c>
      <c r="D230" s="3" t="s">
        <v>1872</v>
      </c>
      <c r="E230" s="3" t="s">
        <v>1511</v>
      </c>
      <c r="F230" s="4">
        <v>215.0</v>
      </c>
      <c r="G230" s="3" t="s">
        <v>1235</v>
      </c>
      <c r="H230" s="3" t="s">
        <v>1566</v>
      </c>
      <c r="I230" s="3" t="s">
        <v>1567</v>
      </c>
      <c r="J230" s="3" t="s">
        <v>1568</v>
      </c>
      <c r="K230" s="3" t="s">
        <v>1569</v>
      </c>
      <c r="L230" s="4">
        <v>105.0</v>
      </c>
      <c r="M230" s="5">
        <v>502.0</v>
      </c>
      <c r="N230" s="6">
        <v>5.8</v>
      </c>
      <c r="O230" s="3" t="s">
        <v>1570</v>
      </c>
      <c r="P230" s="4">
        <v>4.0</v>
      </c>
      <c r="Q230" s="4">
        <v>580.0</v>
      </c>
      <c r="R230" s="6">
        <v>18.0</v>
      </c>
      <c r="S230" s="4">
        <v>62.0</v>
      </c>
      <c r="T230" s="6">
        <v>1.15</v>
      </c>
      <c r="U230" s="3" t="s">
        <v>1571</v>
      </c>
      <c r="V230" s="3" t="s">
        <v>1572</v>
      </c>
      <c r="W230" s="2" t="s">
        <v>1543</v>
      </c>
    </row>
    <row r="231" spans="8:8" ht="18.75" customHeight="1">
      <c r="A231" s="7" t="s">
        <v>1877</v>
      </c>
      <c r="B231" s="8" t="s">
        <v>1509</v>
      </c>
      <c r="C231" s="8" t="s">
        <v>376</v>
      </c>
      <c r="D231" s="8" t="s">
        <v>1872</v>
      </c>
      <c r="E231" s="8" t="s">
        <v>1511</v>
      </c>
      <c r="F231" s="9">
        <v>215.0</v>
      </c>
      <c r="G231" s="8" t="s">
        <v>1235</v>
      </c>
      <c r="H231" s="8" t="s">
        <v>1574</v>
      </c>
      <c r="I231" s="8" t="s">
        <v>1575</v>
      </c>
      <c r="J231" s="8" t="s">
        <v>1561</v>
      </c>
      <c r="K231" s="8" t="s">
        <v>1569</v>
      </c>
      <c r="L231" s="9">
        <v>110.0</v>
      </c>
      <c r="M231" s="10">
        <v>474.0</v>
      </c>
      <c r="N231" s="11">
        <v>5.2</v>
      </c>
      <c r="O231" s="8" t="s">
        <v>1576</v>
      </c>
      <c r="P231" s="9">
        <v>4.0</v>
      </c>
      <c r="Q231" s="9">
        <v>550.0</v>
      </c>
      <c r="R231" s="11">
        <v>16.0</v>
      </c>
      <c r="S231" s="9">
        <v>26.0</v>
      </c>
      <c r="T231" s="11">
        <v>0.51</v>
      </c>
      <c r="U231" s="8" t="s">
        <v>1577</v>
      </c>
      <c r="V231" s="8" t="s">
        <v>1578</v>
      </c>
      <c r="W231" s="7" t="s">
        <v>1543</v>
      </c>
    </row>
    <row r="232" spans="8:8" ht="18.75" customHeight="1">
      <c r="A232" s="2" t="s">
        <v>1878</v>
      </c>
      <c r="B232" s="3" t="s">
        <v>1509</v>
      </c>
      <c r="C232" s="3" t="s">
        <v>376</v>
      </c>
      <c r="D232" s="3" t="s">
        <v>1872</v>
      </c>
      <c r="E232" s="3" t="s">
        <v>1511</v>
      </c>
      <c r="F232" s="4">
        <v>215.0</v>
      </c>
      <c r="G232" s="3" t="s">
        <v>1235</v>
      </c>
      <c r="H232" s="3" t="s">
        <v>1580</v>
      </c>
      <c r="I232" s="3" t="s">
        <v>1581</v>
      </c>
      <c r="J232" s="3" t="s">
        <v>1547</v>
      </c>
      <c r="K232" s="3" t="s">
        <v>1539</v>
      </c>
      <c r="L232" s="4">
        <v>160.0</v>
      </c>
      <c r="M232" s="5">
        <v>521.0</v>
      </c>
      <c r="N232" s="6">
        <v>4.8</v>
      </c>
      <c r="O232" s="3" t="s">
        <v>1582</v>
      </c>
      <c r="P232" s="4">
        <v>3.0</v>
      </c>
      <c r="Q232" s="4">
        <v>600.0</v>
      </c>
      <c r="R232" s="6">
        <v>20.0</v>
      </c>
      <c r="S232" s="4">
        <v>18.0</v>
      </c>
      <c r="T232" s="6">
        <v>0.32</v>
      </c>
      <c r="U232" s="3" t="s">
        <v>1583</v>
      </c>
      <c r="V232" s="3" t="s">
        <v>1584</v>
      </c>
      <c r="W232" s="2" t="s">
        <v>1543</v>
      </c>
    </row>
    <row r="233" spans="8:8" ht="18.75" customHeight="1">
      <c r="A233" s="7" t="s">
        <v>1879</v>
      </c>
      <c r="B233" s="8" t="s">
        <v>1509</v>
      </c>
      <c r="C233" s="8" t="s">
        <v>376</v>
      </c>
      <c r="D233" s="8" t="s">
        <v>1872</v>
      </c>
      <c r="E233" s="8" t="s">
        <v>1511</v>
      </c>
      <c r="F233" s="9">
        <v>215.0</v>
      </c>
      <c r="G233" s="8" t="s">
        <v>1235</v>
      </c>
      <c r="H233" s="8" t="s">
        <v>1586</v>
      </c>
      <c r="I233" s="8" t="s">
        <v>1587</v>
      </c>
      <c r="J233" s="8" t="s">
        <v>1568</v>
      </c>
      <c r="K233" s="8" t="s">
        <v>1548</v>
      </c>
      <c r="L233" s="9">
        <v>120.0</v>
      </c>
      <c r="M233" s="10">
        <v>446.0</v>
      </c>
      <c r="N233" s="11">
        <v>4.6</v>
      </c>
      <c r="O233" s="8" t="s">
        <v>1588</v>
      </c>
      <c r="P233" s="9">
        <v>5.0</v>
      </c>
      <c r="Q233" s="9">
        <v>500.0</v>
      </c>
      <c r="R233" s="11">
        <v>18.0</v>
      </c>
      <c r="S233" s="9">
        <v>48.0</v>
      </c>
      <c r="T233" s="11">
        <v>1.0</v>
      </c>
      <c r="U233" s="8" t="s">
        <v>1589</v>
      </c>
      <c r="V233" s="8" t="s">
        <v>1590</v>
      </c>
      <c r="W233" s="7" t="s">
        <v>1543</v>
      </c>
    </row>
    <row r="234" spans="8:8" ht="18.75" customHeight="1">
      <c r="A234" s="2" t="s">
        <v>1880</v>
      </c>
      <c r="B234" s="3" t="s">
        <v>1509</v>
      </c>
      <c r="C234" s="3" t="s">
        <v>376</v>
      </c>
      <c r="D234" s="3" t="s">
        <v>1872</v>
      </c>
      <c r="E234" s="3" t="s">
        <v>1511</v>
      </c>
      <c r="F234" s="4">
        <v>215.0</v>
      </c>
      <c r="G234" s="3" t="s">
        <v>1246</v>
      </c>
      <c r="H234" s="3" t="s">
        <v>1592</v>
      </c>
      <c r="I234" s="3" t="s">
        <v>1593</v>
      </c>
      <c r="J234" s="3" t="s">
        <v>1568</v>
      </c>
      <c r="K234" s="3" t="s">
        <v>1569</v>
      </c>
      <c r="L234" s="4">
        <v>125.0</v>
      </c>
      <c r="M234" s="5">
        <v>856.0</v>
      </c>
      <c r="N234" s="6">
        <v>7.8</v>
      </c>
      <c r="O234" s="3" t="s">
        <v>1594</v>
      </c>
      <c r="P234" s="4">
        <v>11.0</v>
      </c>
      <c r="Q234" s="4">
        <v>950.0</v>
      </c>
      <c r="R234" s="6">
        <v>10.0</v>
      </c>
      <c r="S234" s="4">
        <v>64.0</v>
      </c>
      <c r="T234" s="6">
        <v>0.7</v>
      </c>
      <c r="U234" s="3" t="s">
        <v>1595</v>
      </c>
      <c r="V234" s="3" t="s">
        <v>1590</v>
      </c>
      <c r="W234" s="2" t="s">
        <v>1543</v>
      </c>
    </row>
    <row r="235" spans="8:8" ht="18.75" customHeight="1">
      <c r="A235" s="7" t="s">
        <v>1881</v>
      </c>
      <c r="B235" s="8" t="s">
        <v>1509</v>
      </c>
      <c r="C235" s="8" t="s">
        <v>376</v>
      </c>
      <c r="D235" s="8" t="s">
        <v>1872</v>
      </c>
      <c r="E235" s="8" t="s">
        <v>1511</v>
      </c>
      <c r="F235" s="9">
        <v>215.0</v>
      </c>
      <c r="G235" s="8" t="s">
        <v>1246</v>
      </c>
      <c r="H235" s="8" t="s">
        <v>1597</v>
      </c>
      <c r="I235" s="8" t="s">
        <v>1598</v>
      </c>
      <c r="J235" s="8" t="s">
        <v>1599</v>
      </c>
      <c r="K235" s="8" t="s">
        <v>1539</v>
      </c>
      <c r="L235" s="9">
        <v>165.0</v>
      </c>
      <c r="M235" s="10">
        <v>725.0</v>
      </c>
      <c r="N235" s="11">
        <v>6.4</v>
      </c>
      <c r="O235" s="8" t="s">
        <v>1600</v>
      </c>
      <c r="P235" s="9">
        <v>6.0</v>
      </c>
      <c r="Q235" s="9">
        <v>750.0</v>
      </c>
      <c r="R235" s="11">
        <v>14.0</v>
      </c>
      <c r="S235" s="9">
        <v>28.0</v>
      </c>
      <c r="T235" s="11">
        <v>0.36</v>
      </c>
      <c r="U235" s="8" t="s">
        <v>1601</v>
      </c>
      <c r="V235" s="8" t="s">
        <v>1602</v>
      </c>
      <c r="W235" s="7" t="s">
        <v>1543</v>
      </c>
    </row>
    <row r="236" spans="8:8" ht="18.75" customHeight="1">
      <c r="A236" s="2" t="s">
        <v>1882</v>
      </c>
      <c r="B236" s="3" t="s">
        <v>1509</v>
      </c>
      <c r="C236" s="3" t="s">
        <v>376</v>
      </c>
      <c r="D236" s="3" t="s">
        <v>1872</v>
      </c>
      <c r="E236" s="3" t="s">
        <v>1511</v>
      </c>
      <c r="F236" s="4">
        <v>215.0</v>
      </c>
      <c r="G236" s="3" t="s">
        <v>1246</v>
      </c>
      <c r="H236" s="3" t="s">
        <v>1604</v>
      </c>
      <c r="I236" s="3" t="s">
        <v>1605</v>
      </c>
      <c r="J236" s="3" t="s">
        <v>1606</v>
      </c>
      <c r="K236" s="3" t="s">
        <v>1569</v>
      </c>
      <c r="L236" s="4">
        <v>160.0</v>
      </c>
      <c r="M236" s="5">
        <v>763.0</v>
      </c>
      <c r="N236" s="6">
        <v>6.2</v>
      </c>
      <c r="O236" s="3" t="s">
        <v>1607</v>
      </c>
      <c r="P236" s="4">
        <v>7.0</v>
      </c>
      <c r="Q236" s="4">
        <v>800.0</v>
      </c>
      <c r="R236" s="6">
        <v>12.0</v>
      </c>
      <c r="S236" s="4">
        <v>35.0</v>
      </c>
      <c r="T236" s="6">
        <v>0.43</v>
      </c>
      <c r="U236" s="3" t="s">
        <v>1608</v>
      </c>
      <c r="V236" s="3" t="s">
        <v>1609</v>
      </c>
      <c r="W236" s="2" t="s">
        <v>1543</v>
      </c>
    </row>
    <row r="237" spans="8:8" ht="18.75" customHeight="1">
      <c r="A237" s="7" t="s">
        <v>1883</v>
      </c>
      <c r="B237" s="8" t="s">
        <v>1509</v>
      </c>
      <c r="C237" s="8" t="s">
        <v>376</v>
      </c>
      <c r="D237" s="8" t="s">
        <v>1872</v>
      </c>
      <c r="E237" s="8" t="s">
        <v>1511</v>
      </c>
      <c r="F237" s="9">
        <v>215.0</v>
      </c>
      <c r="G237" s="8" t="s">
        <v>1246</v>
      </c>
      <c r="H237" s="8" t="s">
        <v>1611</v>
      </c>
      <c r="I237" s="8" t="s">
        <v>1612</v>
      </c>
      <c r="J237" s="8" t="s">
        <v>1606</v>
      </c>
      <c r="K237" s="8" t="s">
        <v>1613</v>
      </c>
      <c r="L237" s="9">
        <v>250.0</v>
      </c>
      <c r="M237" s="10">
        <v>976.0</v>
      </c>
      <c r="N237" s="11">
        <v>5.9</v>
      </c>
      <c r="O237" s="8" t="s">
        <v>1614</v>
      </c>
      <c r="P237" s="9">
        <v>13.0</v>
      </c>
      <c r="Q237" s="9">
        <v>1000.0</v>
      </c>
      <c r="R237" s="11">
        <v>10.0</v>
      </c>
      <c r="S237" s="9">
        <v>55.0</v>
      </c>
      <c r="T237" s="11">
        <v>0.52</v>
      </c>
      <c r="U237" s="8" t="s">
        <v>1615</v>
      </c>
      <c r="V237" s="8" t="s">
        <v>1616</v>
      </c>
      <c r="W237" s="7" t="s">
        <v>1543</v>
      </c>
    </row>
    <row r="238" spans="8:8" ht="18.75" customHeight="1">
      <c r="A238" s="2" t="s">
        <v>1884</v>
      </c>
      <c r="B238" s="3" t="s">
        <v>1509</v>
      </c>
      <c r="C238" s="3" t="s">
        <v>376</v>
      </c>
      <c r="D238" s="3" t="s">
        <v>1872</v>
      </c>
      <c r="E238" s="3" t="s">
        <v>1511</v>
      </c>
      <c r="F238" s="4">
        <v>215.0</v>
      </c>
      <c r="G238" s="3" t="s">
        <v>1257</v>
      </c>
      <c r="H238" s="3" t="s">
        <v>1618</v>
      </c>
      <c r="I238" s="3" t="s">
        <v>1619</v>
      </c>
      <c r="J238" s="3" t="s">
        <v>1599</v>
      </c>
      <c r="K238" s="3" t="s">
        <v>1620</v>
      </c>
      <c r="L238" s="4">
        <v>360.0</v>
      </c>
      <c r="M238" s="5">
        <v>1534.0</v>
      </c>
      <c r="N238" s="6">
        <v>8.5</v>
      </c>
      <c r="O238" s="3" t="s">
        <v>1621</v>
      </c>
      <c r="P238" s="4">
        <v>22.0</v>
      </c>
      <c r="Q238" s="4">
        <v>1350.0</v>
      </c>
      <c r="R238" s="6">
        <v>6.0</v>
      </c>
      <c r="S238" s="4">
        <v>1050.0</v>
      </c>
      <c r="T238" s="6">
        <v>6.36</v>
      </c>
      <c r="U238" s="3" t="s">
        <v>1622</v>
      </c>
      <c r="V238" s="3" t="s">
        <v>1623</v>
      </c>
      <c r="W238" s="2" t="s">
        <v>1543</v>
      </c>
    </row>
    <row r="239" spans="8:8" ht="18.75" customHeight="1">
      <c r="A239" s="7" t="s">
        <v>1885</v>
      </c>
      <c r="B239" s="8" t="s">
        <v>1509</v>
      </c>
      <c r="C239" s="8" t="s">
        <v>376</v>
      </c>
      <c r="D239" s="8" t="s">
        <v>1872</v>
      </c>
      <c r="E239" s="8" t="s">
        <v>1511</v>
      </c>
      <c r="F239" s="9">
        <v>215.0</v>
      </c>
      <c r="G239" s="8" t="s">
        <v>1257</v>
      </c>
      <c r="H239" s="8" t="s">
        <v>1625</v>
      </c>
      <c r="I239" s="8" t="s">
        <v>1626</v>
      </c>
      <c r="J239" s="8" t="s">
        <v>1627</v>
      </c>
      <c r="K239" s="8" t="s">
        <v>1628</v>
      </c>
      <c r="L239" s="9">
        <v>340.0</v>
      </c>
      <c r="M239" s="10">
        <v>1414.0</v>
      </c>
      <c r="N239" s="11">
        <v>8.2</v>
      </c>
      <c r="O239" s="8" t="s">
        <v>1629</v>
      </c>
      <c r="P239" s="9">
        <v>28.0</v>
      </c>
      <c r="Q239" s="9">
        <v>1300.0</v>
      </c>
      <c r="R239" s="11">
        <v>6.5</v>
      </c>
      <c r="S239" s="9">
        <v>650.0</v>
      </c>
      <c r="T239" s="11">
        <v>4.28</v>
      </c>
      <c r="U239" s="8" t="s">
        <v>1630</v>
      </c>
      <c r="V239" s="8" t="s">
        <v>1631</v>
      </c>
      <c r="W239" s="7" t="s">
        <v>1543</v>
      </c>
    </row>
    <row r="240" spans="8:8" ht="18.75" customHeight="1">
      <c r="A240" s="2" t="s">
        <v>1886</v>
      </c>
      <c r="B240" s="3" t="s">
        <v>1509</v>
      </c>
      <c r="C240" s="3" t="s">
        <v>376</v>
      </c>
      <c r="D240" s="3" t="s">
        <v>1872</v>
      </c>
      <c r="E240" s="3" t="s">
        <v>1511</v>
      </c>
      <c r="F240" s="4">
        <v>215.0</v>
      </c>
      <c r="G240" s="3" t="s">
        <v>1257</v>
      </c>
      <c r="H240" s="3" t="s">
        <v>1633</v>
      </c>
      <c r="I240" s="3" t="s">
        <v>1593</v>
      </c>
      <c r="J240" s="3" t="s">
        <v>1568</v>
      </c>
      <c r="K240" s="3" t="s">
        <v>1634</v>
      </c>
      <c r="L240" s="4">
        <v>240.0</v>
      </c>
      <c r="M240" s="5">
        <v>1720.0</v>
      </c>
      <c r="N240" s="6">
        <v>9.0</v>
      </c>
      <c r="O240" s="3" t="s">
        <v>1635</v>
      </c>
      <c r="P240" s="4">
        <v>26.0</v>
      </c>
      <c r="Q240" s="4">
        <v>1500.0</v>
      </c>
      <c r="R240" s="6">
        <v>4.5</v>
      </c>
      <c r="S240" s="4">
        <v>120.0</v>
      </c>
      <c r="T240" s="6">
        <v>0.65</v>
      </c>
      <c r="U240" s="3" t="s">
        <v>1636</v>
      </c>
      <c r="V240" s="3" t="s">
        <v>1637</v>
      </c>
      <c r="W240" s="2" t="s">
        <v>1543</v>
      </c>
    </row>
    <row r="241" spans="8:8" ht="18.75" customHeight="1">
      <c r="A241" s="7" t="s">
        <v>1887</v>
      </c>
      <c r="B241" s="8" t="s">
        <v>1509</v>
      </c>
      <c r="C241" s="8" t="s">
        <v>376</v>
      </c>
      <c r="D241" s="8" t="s">
        <v>1872</v>
      </c>
      <c r="E241" s="8" t="s">
        <v>1511</v>
      </c>
      <c r="F241" s="9">
        <v>215.0</v>
      </c>
      <c r="G241" s="8" t="s">
        <v>1257</v>
      </c>
      <c r="H241" s="8" t="s">
        <v>1639</v>
      </c>
      <c r="I241" s="8" t="s">
        <v>1640</v>
      </c>
      <c r="J241" s="8" t="s">
        <v>1641</v>
      </c>
      <c r="K241" s="8" t="s">
        <v>1642</v>
      </c>
      <c r="L241" s="9">
        <v>365.0</v>
      </c>
      <c r="M241" s="10">
        <v>1376.0</v>
      </c>
      <c r="N241" s="11">
        <v>7.2</v>
      </c>
      <c r="O241" s="8" t="s">
        <v>1643</v>
      </c>
      <c r="P241" s="9">
        <v>20.0</v>
      </c>
      <c r="Q241" s="9">
        <v>1400.0</v>
      </c>
      <c r="R241" s="11">
        <v>6.0</v>
      </c>
      <c r="S241" s="9">
        <v>140.0</v>
      </c>
      <c r="T241" s="11">
        <v>0.95</v>
      </c>
      <c r="U241" s="8" t="s">
        <v>1644</v>
      </c>
      <c r="V241" s="8" t="s">
        <v>1645</v>
      </c>
      <c r="W241" s="7" t="s">
        <v>1543</v>
      </c>
    </row>
  </sheetData>
  <pageMargins left="0.75" right="0.75" top="1.0" bottom="1.0" header="0.511811023622047" footer="0.511811023622047"/>
  <pageSetup paperSize="1" orientation="landscape"/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13"/>
  <sheetViews>
    <sheetView workbookViewId="0">
      <selection activeCell="A1" sqref="A1"/>
    </sheetView>
  </sheetViews>
  <sheetFormatPr defaultRowHeight="15.0" zeroHeight="1"/>
  <cols>
    <col min="1" max="1" customWidth="1" width="20.0" style="0"/>
    <col min="2" max="5" customWidth="1" width="38.0" style="0"/>
    <col min="6" max="6" customWidth="1" width="19.0" style="0"/>
    <col min="7" max="10" customWidth="1" width="38.0" style="0"/>
    <col min="11" max="11" customWidth="1" width="34.0" style="0"/>
    <col min="12" max="12" customWidth="1" width="38.0" style="0"/>
    <col min="13" max="13" customWidth="1" width="27.0" style="0"/>
    <col min="14" max="14" customWidth="1" width="20.0" style="0"/>
  </cols>
  <sheetData>
    <row r="1" spans="8:8" ht="24.75" customHeight="1">
      <c r="A1" s="1" t="s">
        <v>1217</v>
      </c>
      <c r="B1" s="1" t="s">
        <v>1888</v>
      </c>
      <c r="C1" s="1" t="s">
        <v>1889</v>
      </c>
      <c r="D1" s="1" t="s">
        <v>1890</v>
      </c>
      <c r="E1" s="1" t="s">
        <v>1891</v>
      </c>
      <c r="F1" s="1" t="s">
        <v>1892</v>
      </c>
      <c r="G1" s="1" t="s">
        <v>1893</v>
      </c>
      <c r="H1" s="1" t="s">
        <v>1894</v>
      </c>
      <c r="I1" s="1" t="s">
        <v>1895</v>
      </c>
      <c r="J1" s="1" t="s">
        <v>1896</v>
      </c>
      <c r="K1" s="1" t="s">
        <v>1897</v>
      </c>
      <c r="L1" s="1" t="s">
        <v>1898</v>
      </c>
      <c r="M1" s="1" t="s">
        <v>1899</v>
      </c>
      <c r="N1" s="1" t="s">
        <v>1900</v>
      </c>
    </row>
    <row r="2" spans="8:8" ht="18.75" customHeight="1">
      <c r="A2" s="2" t="s">
        <v>1901</v>
      </c>
      <c r="B2" s="3" t="s">
        <v>1902</v>
      </c>
      <c r="C2" s="3" t="s">
        <v>1903</v>
      </c>
      <c r="D2" s="3" t="s">
        <v>1904</v>
      </c>
      <c r="E2" s="3" t="s">
        <v>1905</v>
      </c>
      <c r="F2" s="4">
        <v>2025.0</v>
      </c>
      <c r="G2" s="3" t="s">
        <v>1906</v>
      </c>
      <c r="H2" s="3" t="s">
        <v>1907</v>
      </c>
      <c r="I2" s="3" t="s">
        <v>1908</v>
      </c>
      <c r="J2" s="3" t="s">
        <v>1909</v>
      </c>
      <c r="K2" s="3" t="s">
        <v>1910</v>
      </c>
      <c r="L2" s="3" t="s">
        <v>1911</v>
      </c>
      <c r="M2" s="3" t="s">
        <v>1912</v>
      </c>
      <c r="N2" s="3" t="s">
        <v>1913</v>
      </c>
    </row>
    <row r="3" spans="8:8" ht="18.75" customHeight="1">
      <c r="A3" s="7" t="s">
        <v>1914</v>
      </c>
      <c r="B3" s="8" t="s">
        <v>1915</v>
      </c>
      <c r="C3" s="8" t="s">
        <v>1903</v>
      </c>
      <c r="D3" s="8" t="s">
        <v>1916</v>
      </c>
      <c r="E3" s="8" t="s">
        <v>1917</v>
      </c>
      <c r="F3" s="9">
        <v>2022.0</v>
      </c>
      <c r="G3" s="8" t="s">
        <v>1918</v>
      </c>
      <c r="H3" s="8" t="s">
        <v>1919</v>
      </c>
      <c r="I3" s="8" t="s">
        <v>1920</v>
      </c>
      <c r="J3" s="8" t="s">
        <v>1921</v>
      </c>
      <c r="K3" s="8" t="s">
        <v>1922</v>
      </c>
      <c r="L3" s="8" t="s">
        <v>1923</v>
      </c>
      <c r="M3" s="8" t="s">
        <v>1912</v>
      </c>
      <c r="N3" s="8" t="s">
        <v>1913</v>
      </c>
    </row>
    <row r="4" spans="8:8" ht="18.75" customHeight="1">
      <c r="A4" s="2" t="s">
        <v>1924</v>
      </c>
      <c r="B4" s="3" t="s">
        <v>1925</v>
      </c>
      <c r="C4" s="3" t="s">
        <v>1926</v>
      </c>
      <c r="D4" s="3" t="s">
        <v>1927</v>
      </c>
      <c r="E4" s="3" t="s">
        <v>1928</v>
      </c>
      <c r="F4" s="4">
        <v>2025.0</v>
      </c>
      <c r="G4" s="3" t="s">
        <v>1929</v>
      </c>
      <c r="H4" s="3" t="s">
        <v>1930</v>
      </c>
      <c r="I4" s="3" t="s">
        <v>1931</v>
      </c>
      <c r="J4" s="3" t="s">
        <v>1932</v>
      </c>
      <c r="K4" s="3" t="s">
        <v>1933</v>
      </c>
      <c r="L4" s="3" t="s">
        <v>1934</v>
      </c>
      <c r="M4" s="3" t="s">
        <v>1912</v>
      </c>
      <c r="N4" s="3" t="s">
        <v>1913</v>
      </c>
    </row>
    <row r="5" spans="8:8" ht="18.75" customHeight="1">
      <c r="A5" s="7" t="s">
        <v>1935</v>
      </c>
      <c r="B5" s="8" t="s">
        <v>1936</v>
      </c>
      <c r="C5" s="8" t="s">
        <v>1926</v>
      </c>
      <c r="D5" s="8" t="s">
        <v>1937</v>
      </c>
      <c r="E5" s="8" t="s">
        <v>1938</v>
      </c>
      <c r="F5" s="9">
        <v>2025.0</v>
      </c>
      <c r="G5" s="8" t="s">
        <v>1939</v>
      </c>
      <c r="H5" s="8" t="s">
        <v>1940</v>
      </c>
      <c r="I5" s="8" t="s">
        <v>1941</v>
      </c>
      <c r="J5" s="8" t="s">
        <v>1942</v>
      </c>
      <c r="K5" s="8" t="s">
        <v>1943</v>
      </c>
      <c r="L5" s="8" t="s">
        <v>1944</v>
      </c>
      <c r="M5" s="8" t="s">
        <v>1912</v>
      </c>
      <c r="N5" s="8" t="s">
        <v>1913</v>
      </c>
    </row>
    <row r="6" spans="8:8" ht="18.75" customHeight="1">
      <c r="A6" s="2" t="s">
        <v>1945</v>
      </c>
      <c r="B6" s="3" t="s">
        <v>1946</v>
      </c>
      <c r="C6" s="3" t="s">
        <v>1947</v>
      </c>
      <c r="D6" s="3" t="s">
        <v>1948</v>
      </c>
      <c r="E6" s="3" t="s">
        <v>1949</v>
      </c>
      <c r="F6" s="4">
        <v>2020.0</v>
      </c>
      <c r="G6" s="3" t="s">
        <v>1950</v>
      </c>
      <c r="H6" s="3" t="s">
        <v>1951</v>
      </c>
      <c r="I6" s="3" t="s">
        <v>1952</v>
      </c>
      <c r="J6" s="3" t="s">
        <v>1953</v>
      </c>
      <c r="K6" s="3" t="s">
        <v>1954</v>
      </c>
      <c r="L6" s="3" t="s">
        <v>1955</v>
      </c>
      <c r="M6" s="3" t="s">
        <v>1912</v>
      </c>
      <c r="N6" s="3" t="s">
        <v>1913</v>
      </c>
    </row>
    <row r="7" spans="8:8" ht="18.75" customHeight="1">
      <c r="A7" s="7" t="s">
        <v>1956</v>
      </c>
      <c r="B7" s="8" t="s">
        <v>1957</v>
      </c>
      <c r="C7" s="8" t="s">
        <v>1958</v>
      </c>
      <c r="D7" s="8" t="s">
        <v>1959</v>
      </c>
      <c r="E7" s="8" t="s">
        <v>1960</v>
      </c>
      <c r="F7" s="9">
        <v>2018.0</v>
      </c>
      <c r="G7" s="8" t="s">
        <v>1961</v>
      </c>
      <c r="H7" s="8" t="s">
        <v>1962</v>
      </c>
      <c r="I7" s="8" t="s">
        <v>1963</v>
      </c>
      <c r="J7" s="8" t="s">
        <v>1964</v>
      </c>
      <c r="K7" s="8" t="s">
        <v>1965</v>
      </c>
      <c r="L7" s="8" t="s">
        <v>1966</v>
      </c>
      <c r="M7" s="8" t="s">
        <v>1912</v>
      </c>
      <c r="N7" s="8" t="s">
        <v>1913</v>
      </c>
    </row>
    <row r="8" spans="8:8" ht="18.75" customHeight="1">
      <c r="A8" s="2" t="s">
        <v>1967</v>
      </c>
      <c r="B8" s="3" t="s">
        <v>1968</v>
      </c>
      <c r="C8" s="3" t="s">
        <v>1969</v>
      </c>
      <c r="D8" s="3" t="s">
        <v>1970</v>
      </c>
      <c r="E8" s="3" t="s">
        <v>1971</v>
      </c>
      <c r="F8" s="4">
        <v>2023.0</v>
      </c>
      <c r="G8" s="3" t="s">
        <v>1972</v>
      </c>
      <c r="H8" s="3" t="s">
        <v>1973</v>
      </c>
      <c r="I8" s="3" t="s">
        <v>1974</v>
      </c>
      <c r="J8" s="3" t="s">
        <v>1975</v>
      </c>
      <c r="K8" s="3" t="s">
        <v>1976</v>
      </c>
      <c r="L8" s="3" t="s">
        <v>1977</v>
      </c>
      <c r="M8" s="3" t="s">
        <v>1912</v>
      </c>
      <c r="N8" s="3" t="s">
        <v>1913</v>
      </c>
    </row>
    <row r="9" spans="8:8" ht="18.75" customHeight="1">
      <c r="A9" s="7" t="s">
        <v>1978</v>
      </c>
      <c r="B9" s="8" t="s">
        <v>1979</v>
      </c>
      <c r="C9" s="8" t="s">
        <v>1980</v>
      </c>
      <c r="D9" s="8" t="s">
        <v>1981</v>
      </c>
      <c r="E9" s="8" t="s">
        <v>1982</v>
      </c>
      <c r="F9" s="9">
        <v>1998.0</v>
      </c>
      <c r="G9" s="8" t="s">
        <v>1983</v>
      </c>
      <c r="H9" s="8" t="s">
        <v>1984</v>
      </c>
      <c r="I9" s="8" t="s">
        <v>1985</v>
      </c>
      <c r="J9" s="8" t="s">
        <v>1986</v>
      </c>
      <c r="K9" s="8" t="s">
        <v>1987</v>
      </c>
      <c r="L9" s="8" t="s">
        <v>1988</v>
      </c>
      <c r="M9" s="8" t="s">
        <v>1912</v>
      </c>
      <c r="N9" s="8" t="s">
        <v>1913</v>
      </c>
    </row>
    <row r="10" spans="8:8" ht="18.75" customHeight="1">
      <c r="A10" s="2" t="s">
        <v>1989</v>
      </c>
      <c r="B10" s="3" t="s">
        <v>1990</v>
      </c>
      <c r="C10" s="3" t="s">
        <v>1991</v>
      </c>
      <c r="D10" s="3" t="s">
        <v>1992</v>
      </c>
      <c r="E10" s="3" t="s">
        <v>1993</v>
      </c>
      <c r="F10" s="4">
        <v>2016.0</v>
      </c>
      <c r="G10" s="3" t="s">
        <v>1994</v>
      </c>
      <c r="H10" s="3" t="s">
        <v>1995</v>
      </c>
      <c r="I10" s="3" t="s">
        <v>1996</v>
      </c>
      <c r="J10" s="3" t="s">
        <v>1997</v>
      </c>
      <c r="K10" s="3" t="s">
        <v>1998</v>
      </c>
      <c r="L10" s="3" t="s">
        <v>1999</v>
      </c>
      <c r="M10" s="3" t="s">
        <v>2000</v>
      </c>
      <c r="N10" s="3" t="s">
        <v>1913</v>
      </c>
    </row>
    <row r="11" spans="8:8" ht="18.75" customHeight="1">
      <c r="A11" s="7" t="s">
        <v>2001</v>
      </c>
      <c r="B11" s="8" t="s">
        <v>2002</v>
      </c>
      <c r="C11" s="8" t="s">
        <v>2003</v>
      </c>
      <c r="D11" s="8" t="s">
        <v>2004</v>
      </c>
      <c r="E11" s="8" t="s">
        <v>2005</v>
      </c>
      <c r="F11" s="9">
        <v>2023.0</v>
      </c>
      <c r="G11" s="8" t="s">
        <v>2006</v>
      </c>
      <c r="H11" s="8" t="s">
        <v>2007</v>
      </c>
      <c r="I11" s="8" t="s">
        <v>2008</v>
      </c>
      <c r="J11" s="8" t="s">
        <v>2009</v>
      </c>
      <c r="K11" s="8" t="s">
        <v>2010</v>
      </c>
      <c r="L11" s="8" t="s">
        <v>2011</v>
      </c>
      <c r="M11" s="8" t="s">
        <v>2000</v>
      </c>
      <c r="N11" s="8" t="s">
        <v>1913</v>
      </c>
    </row>
    <row r="12" spans="8:8" ht="18.75" customHeight="1">
      <c r="A12" s="2" t="s">
        <v>2012</v>
      </c>
      <c r="B12" s="3" t="s">
        <v>2013</v>
      </c>
      <c r="C12" s="3" t="s">
        <v>2014</v>
      </c>
      <c r="D12" s="3" t="s">
        <v>2015</v>
      </c>
      <c r="E12" s="3" t="s">
        <v>2016</v>
      </c>
      <c r="F12" s="4">
        <v>2024.0</v>
      </c>
      <c r="G12" s="3" t="s">
        <v>2017</v>
      </c>
      <c r="H12" s="3" t="s">
        <v>2018</v>
      </c>
      <c r="I12" s="3" t="s">
        <v>2019</v>
      </c>
      <c r="J12" s="3" t="s">
        <v>2020</v>
      </c>
      <c r="K12" s="3" t="s">
        <v>2021</v>
      </c>
      <c r="L12" s="3" t="s">
        <v>2022</v>
      </c>
      <c r="M12" s="3" t="s">
        <v>2023</v>
      </c>
      <c r="N12" s="3" t="s">
        <v>1913</v>
      </c>
    </row>
    <row r="13" spans="8:8" ht="18.75" customHeight="1">
      <c r="A13" s="7" t="s">
        <v>2024</v>
      </c>
      <c r="B13" s="8" t="s">
        <v>2025</v>
      </c>
      <c r="C13" s="8" t="s">
        <v>2026</v>
      </c>
      <c r="D13" s="8" t="s">
        <v>2027</v>
      </c>
      <c r="E13" s="8" t="s">
        <v>2028</v>
      </c>
      <c r="F13" s="9">
        <v>2025.0</v>
      </c>
      <c r="G13" s="8" t="s">
        <v>2029</v>
      </c>
      <c r="H13" s="8" t="s">
        <v>2030</v>
      </c>
      <c r="I13" s="8" t="s">
        <v>2031</v>
      </c>
      <c r="J13" s="8" t="s">
        <v>2032</v>
      </c>
      <c r="K13" s="8" t="s">
        <v>2033</v>
      </c>
      <c r="L13" s="8" t="s">
        <v>2034</v>
      </c>
      <c r="M13" s="8" t="s">
        <v>2035</v>
      </c>
      <c r="N13" s="8" t="s">
        <v>1913</v>
      </c>
    </row>
  </sheetData>
  <pageMargins left="0.75" right="0.75" top="1.0" bottom="1.0" header="0.511811023622047" footer="0.511811023622047"/>
  <pageSetup paperSize="1" orientation="landscape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RMX5030</dc:creator>
  <dcterms:created xsi:type="dcterms:W3CDTF">2026-10-24T11:12:39Z</dcterms:created>
  <dcterms:modified xsi:type="dcterms:W3CDTF">2026-10-24T11:12:41Z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cb7e6868e8b049b99a15d14228f23a8a</vt:lpwstr>
  </property>
</Properties>
</file>